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Graficos" sheetId="2" r:id="rId6"/>
    <sheet state="visible" name="Tabela dinâmica " sheetId="3" r:id="rId7"/>
    <sheet state="visible" name="Dados1" sheetId="4" r:id="rId8"/>
    <sheet state="visible" name="minimo-maximo" sheetId="5" r:id="rId9"/>
    <sheet state="visible" name="Cópia de minimo-maximo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<sst xmlns="http://schemas.openxmlformats.org/spreadsheetml/2006/main" count="3131" uniqueCount="76">
  <si>
    <t>DIA 10/04/2024</t>
  </si>
  <si>
    <t>ID</t>
  </si>
  <si>
    <t>Ponto do Acidente</t>
  </si>
  <si>
    <t>Destino</t>
  </si>
  <si>
    <t>Data</t>
  </si>
  <si>
    <t>Faixa de Horário</t>
  </si>
  <si>
    <t>Tempo Base (min)</t>
  </si>
  <si>
    <t>atend. local (min)</t>
  </si>
  <si>
    <t>Tempo Hospital (min)</t>
  </si>
  <si>
    <t>Tempo Total (min)</t>
  </si>
  <si>
    <t>Nível de Transito</t>
  </si>
  <si>
    <t>Rota Principal</t>
  </si>
  <si>
    <t>Alternativa Melhor</t>
  </si>
  <si>
    <t>Rota Alternativa</t>
  </si>
  <si>
    <t>Ganho (min)</t>
  </si>
  <si>
    <t>Ponte Nova</t>
  </si>
  <si>
    <t>HMC</t>
  </si>
  <si>
    <t>Moderado</t>
  </si>
  <si>
    <t>Av. Miguel Sutil</t>
  </si>
  <si>
    <t>Não</t>
  </si>
  <si>
    <t>PSC</t>
  </si>
  <si>
    <t>Intenso</t>
  </si>
  <si>
    <t>R. Barão de Melgaço e R. Joaquim Murtinho</t>
  </si>
  <si>
    <t>Sim</t>
  </si>
  <si>
    <t>via Av. Manoel José de Arruda</t>
  </si>
  <si>
    <t>Santa Isabel</t>
  </si>
  <si>
    <t>via Rua Traçaia</t>
  </si>
  <si>
    <t>Santa Rosa</t>
  </si>
  <si>
    <t>Leve</t>
  </si>
  <si>
    <t>via Av. Miguel Sutil Av. Bernardo
Antônio de Oliveira Neto</t>
  </si>
  <si>
    <t>Av. Isaac Povoas</t>
  </si>
  <si>
    <t>Viaduto da Rodoviaria</t>
  </si>
  <si>
    <t>via Av. Miguel Sutil
R. Antônio Batista Belém</t>
  </si>
  <si>
    <t>Rotatoria com a rua Prof. João Felix</t>
  </si>
  <si>
    <t>via R. Antônio Batista Belém</t>
  </si>
  <si>
    <t>Tempo Total</t>
  </si>
  <si>
    <t>Av.isaac Povoas</t>
  </si>
  <si>
    <t>PSM</t>
  </si>
  <si>
    <t>Av. Manoel José de arruda</t>
  </si>
  <si>
    <t>Rua Traçaia</t>
  </si>
  <si>
    <t>DIA 09/04/2026</t>
  </si>
  <si>
    <t>R. Barão de Melgaço
e R. Joaquim Murtinho</t>
  </si>
  <si>
    <t>Av. Miguel Suti</t>
  </si>
  <si>
    <t>via Av. Miguel Sutil R. Antônio Batista Belém</t>
  </si>
  <si>
    <t>R. Barão de Melgaço</t>
  </si>
  <si>
    <t>via Av. Miguel Sutil e R. Antônio Batista Belém</t>
  </si>
  <si>
    <t>DIA 08/04/2026</t>
  </si>
  <si>
    <t>via Av. Miguel Suti</t>
  </si>
  <si>
    <t>DIA 07/04/2026</t>
  </si>
  <si>
    <t>DIA 06/04/2026</t>
  </si>
  <si>
    <t>R. Ten. Thogo da Silva Pereira</t>
  </si>
  <si>
    <t>DIA 05/04/2026</t>
  </si>
  <si>
    <t>DIA 04/04/2026</t>
  </si>
  <si>
    <t>R. Traçaia</t>
  </si>
  <si>
    <t>via Av. Miguel Sutil</t>
  </si>
  <si>
    <t>via R. Ten. Thogo da Silva Pereira</t>
  </si>
  <si>
    <t>DIA 03/04/2026</t>
  </si>
  <si>
    <t>via R. Cmte. Costa</t>
  </si>
  <si>
    <t>via Rua Traçaia e Av. Oito de Abril</t>
  </si>
  <si>
    <t>DIA 02/04/2026</t>
  </si>
  <si>
    <t>Av. Miguel Sutil,</t>
  </si>
  <si>
    <t>DIA 01/04/2026</t>
  </si>
  <si>
    <t>R. Barão de Melgaço
R. Joaquim Murtinho</t>
  </si>
  <si>
    <t>Horário</t>
  </si>
  <si>
    <t>Nível de Trânsito</t>
  </si>
  <si>
    <t>AVERAGE de Tempo Total (min)</t>
  </si>
  <si>
    <t>MAX de Tempo Total (min)</t>
  </si>
  <si>
    <t>Total geral</t>
  </si>
  <si>
    <t>Dia 01 a 10/04/2026 ás 7:30</t>
  </si>
  <si>
    <t>acidente</t>
  </si>
  <si>
    <t>hospital</t>
  </si>
  <si>
    <t>minimo</t>
  </si>
  <si>
    <t>maximo</t>
  </si>
  <si>
    <t xml:space="preserve"> </t>
  </si>
  <si>
    <t>Dia 01 a 10/04/2026 ás 12:30</t>
  </si>
  <si>
    <t>Dia 01 a 10/04/2026 ás 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</si>
</sst>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10">
    <font>
      <sz val="10.0"/>
      <color rgb="FF000000"/>
      <name val="Arial"/>
      <scheme val="minor"/>
    </font>
    <font>
      <b/>
      <sz val="13.0"/>
      <color theme="1"/>
      <name val="Arial"/>
    </font>
    <font/>
    <font>
      <b/>
      <color theme="1"/>
      <name val="Arial"/>
    </font>
    <font>
      <color theme="1"/>
      <name val="Arial"/>
    </font>
    <font>
      <color rgb="FF1F1F1F"/>
      <name val="Arial"/>
    </font>
    <font>
      <color theme="1"/>
      <name val="Google Sans"/>
    </font>
    <font>
      <color rgb="FF1F1F1F"/>
      <name val="Google Sans"/>
    </font>
    <font>
      <b/>
      <sz val="14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4" numFmtId="164" xfId="0" applyAlignment="1" applyBorder="1" applyFont="1" applyNumberForma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4" fillId="4" fontId="5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0" fillId="4" fontId="6" numFmtId="0" xfId="0" applyAlignment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0" fillId="4" fontId="7" numFmtId="0" xfId="0" applyAlignment="1" applyFont="1">
      <alignment vertical="center"/>
    </xf>
    <xf borderId="6" fillId="0" fontId="4" numFmtId="0" xfId="0" applyAlignment="1" applyBorder="1" applyFont="1">
      <alignment vertical="center"/>
    </xf>
    <xf borderId="8" fillId="0" fontId="2" numFmtId="0" xfId="0" applyBorder="1" applyFont="1"/>
    <xf borderId="9" fillId="0" fontId="4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4" fillId="4" fontId="4" numFmtId="0" xfId="0" applyAlignment="1" applyBorder="1" applyFont="1">
      <alignment vertical="center"/>
    </xf>
    <xf borderId="4" fillId="4" fontId="5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/>
    </xf>
    <xf borderId="4" fillId="0" fontId="4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/>
    </xf>
    <xf borderId="4" fillId="0" fontId="9" numFmtId="0" xfId="0" applyAlignment="1" applyBorder="1" applyFont="1">
      <alignment horizontal="center"/>
    </xf>
    <xf borderId="0" fillId="0" fontId="9" numFmtId="0" xfId="0" applyFont="1"/>
    <xf borderId="0" fillId="0" fontId="9" numFmtId="165" xfId="0" applyFont="1" applyNumberFormat="1"/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4" fillId="0" fontId="4" numFmtId="164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/>
    </xf>
    <xf borderId="5" fillId="0" fontId="4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10/04/2026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Graficos!$C$2:$C$11</c:f>
            </c:strRef>
          </c:cat>
          <c:val>
            <c:numRef>
              <c:f>Graficos!$D$2:$D$11</c:f>
              <c:numCache/>
            </c:numRef>
          </c:val>
        </c:ser>
        <c:ser>
          <c:idx val="1"/>
          <c:order val="1"/>
          <c:cat>
            <c:strRef>
              <c:f>Graficos!$C$2:$C$11</c:f>
            </c:strRef>
          </c:cat>
          <c:val>
            <c:numRef>
              <c:f>Graficos!$E$2:$E$11</c:f>
              <c:numCache/>
            </c:numRef>
          </c:val>
        </c:ser>
        <c:axId val="1452997702"/>
        <c:axId val="1774122161"/>
      </c:bar3DChart>
      <c:catAx>
        <c:axId val="14529977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74122161"/>
      </c:catAx>
      <c:valAx>
        <c:axId val="1774122161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9977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10/04/2026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Graficos!$C$12:$C$21</c:f>
            </c:strRef>
          </c:cat>
          <c:val>
            <c:numRef>
              <c:f>Graficos!$D$12:$D$21</c:f>
              <c:numCache/>
            </c:numRef>
          </c:val>
        </c:ser>
        <c:ser>
          <c:idx val="1"/>
          <c:order val="1"/>
          <c:cat>
            <c:strRef>
              <c:f>Graficos!$C$12:$C$21</c:f>
            </c:strRef>
          </c:cat>
          <c:val>
            <c:numRef>
              <c:f>Graficos!$E$12:$E$21</c:f>
              <c:numCache/>
            </c:numRef>
          </c:val>
        </c:ser>
        <c:axId val="1980347944"/>
        <c:axId val="128877643"/>
      </c:bar3DChart>
      <c:catAx>
        <c:axId val="19803479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8877643"/>
      </c:catAx>
      <c:valAx>
        <c:axId val="12887764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3479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10/04/2026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Graficos!$C$22:$C$31</c:f>
            </c:strRef>
          </c:cat>
          <c:val>
            <c:numRef>
              <c:f>Graficos!$D$22:$D$31</c:f>
              <c:numCache/>
            </c:numRef>
          </c:val>
        </c:ser>
        <c:ser>
          <c:idx val="1"/>
          <c:order val="1"/>
          <c:cat>
            <c:strRef>
              <c:f>Graficos!$C$22:$C$31</c:f>
            </c:strRef>
          </c:cat>
          <c:val>
            <c:numRef>
              <c:f>Graficos!$E$22:$E$31</c:f>
              <c:numCache/>
            </c:numRef>
          </c:val>
        </c:ser>
        <c:axId val="587595965"/>
        <c:axId val="1445624496"/>
      </c:bar3DChart>
      <c:catAx>
        <c:axId val="5875959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45624496"/>
      </c:catAx>
      <c:valAx>
        <c:axId val="1445624496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959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09/04/2026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Graficos!$C$32:$C$41</c:f>
            </c:strRef>
          </c:cat>
          <c:val>
            <c:numRef>
              <c:f>Graficos!$D$32:$D$41</c:f>
              <c:numCache/>
            </c:numRef>
          </c:val>
        </c:ser>
        <c:ser>
          <c:idx val="1"/>
          <c:order val="1"/>
          <c:cat>
            <c:strRef>
              <c:f>Graficos!$C$32:$C$41</c:f>
            </c:strRef>
          </c:cat>
          <c:val>
            <c:numRef>
              <c:f>Graficos!$E$32:$E$41</c:f>
              <c:numCache/>
            </c:numRef>
          </c:val>
        </c:ser>
        <c:axId val="1472779694"/>
        <c:axId val="428907249"/>
      </c:bar3DChart>
      <c:catAx>
        <c:axId val="14727796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28907249"/>
      </c:catAx>
      <c:valAx>
        <c:axId val="428907249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7796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09/04/2026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Graficos!$C$42:$C$51</c:f>
            </c:strRef>
          </c:cat>
          <c:val>
            <c:numRef>
              <c:f>Graficos!$D$42:$D$51</c:f>
              <c:numCache/>
            </c:numRef>
          </c:val>
        </c:ser>
        <c:ser>
          <c:idx val="1"/>
          <c:order val="1"/>
          <c:cat>
            <c:strRef>
              <c:f>Graficos!$C$42:$C$51</c:f>
            </c:strRef>
          </c:cat>
          <c:val>
            <c:numRef>
              <c:f>Graficos!$E$42:$E$51</c:f>
              <c:numCache/>
            </c:numRef>
          </c:val>
        </c:ser>
        <c:axId val="1308738585"/>
        <c:axId val="1721185203"/>
      </c:bar3DChart>
      <c:catAx>
        <c:axId val="13087385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21185203"/>
      </c:catAx>
      <c:valAx>
        <c:axId val="172118520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7385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09/04/2026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Graficos!$C$52:$C$61</c:f>
            </c:strRef>
          </c:cat>
          <c:val>
            <c:numRef>
              <c:f>Graficos!$D$52:$D$61</c:f>
              <c:numCache/>
            </c:numRef>
          </c:val>
        </c:ser>
        <c:ser>
          <c:idx val="1"/>
          <c:order val="1"/>
          <c:cat>
            <c:strRef>
              <c:f>Graficos!$C$52:$C$61</c:f>
            </c:strRef>
          </c:cat>
          <c:val>
            <c:numRef>
              <c:f>Graficos!$E$52:$E$61</c:f>
              <c:numCache/>
            </c:numRef>
          </c:val>
        </c:ser>
        <c:axId val="2048863529"/>
        <c:axId val="179492048"/>
      </c:bar3DChart>
      <c:catAx>
        <c:axId val="20488635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9492048"/>
      </c:catAx>
      <c:valAx>
        <c:axId val="179492048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8635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08/04/2026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Graficos!$C$62:$C$71</c:f>
            </c:strRef>
          </c:cat>
          <c:val>
            <c:numRef>
              <c:f>Graficos!$D$62:$D$71</c:f>
              <c:numCache/>
            </c:numRef>
          </c:val>
        </c:ser>
        <c:ser>
          <c:idx val="1"/>
          <c:order val="1"/>
          <c:cat>
            <c:strRef>
              <c:f>Graficos!$C$62:$C$71</c:f>
            </c:strRef>
          </c:cat>
          <c:val>
            <c:numRef>
              <c:f>Graficos!$E$62:$E$71</c:f>
              <c:numCache/>
            </c:numRef>
          </c:val>
        </c:ser>
        <c:axId val="1148706054"/>
        <c:axId val="1197920497"/>
      </c:bar3DChart>
      <c:catAx>
        <c:axId val="11487060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97920497"/>
      </c:catAx>
      <c:valAx>
        <c:axId val="1197920497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7060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08/04/2026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Graficos!$C$72:$C$81</c:f>
            </c:strRef>
          </c:cat>
          <c:val>
            <c:numRef>
              <c:f>Graficos!$D$72:$D$81</c:f>
              <c:numCache/>
            </c:numRef>
          </c:val>
        </c:ser>
        <c:ser>
          <c:idx val="1"/>
          <c:order val="1"/>
          <c:cat>
            <c:strRef>
              <c:f>Graficos!$C$72:$C$81</c:f>
            </c:strRef>
          </c:cat>
          <c:val>
            <c:numRef>
              <c:f>Graficos!$E$72:$E$81</c:f>
              <c:numCache/>
            </c:numRef>
          </c:val>
        </c:ser>
        <c:axId val="1985058734"/>
        <c:axId val="1017923603"/>
      </c:bar3DChart>
      <c:catAx>
        <c:axId val="19850587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17923603"/>
      </c:catAx>
      <c:valAx>
        <c:axId val="101792360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0587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08/04/2026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Graficos!$C$82:$C$91</c:f>
            </c:strRef>
          </c:cat>
          <c:val>
            <c:numRef>
              <c:f>Graficos!$D$82:$D$91</c:f>
              <c:numCache/>
            </c:numRef>
          </c:val>
        </c:ser>
        <c:ser>
          <c:idx val="1"/>
          <c:order val="1"/>
          <c:cat>
            <c:strRef>
              <c:f>Graficos!$C$82:$C$91</c:f>
            </c:strRef>
          </c:cat>
          <c:val>
            <c:numRef>
              <c:f>Graficos!$E$82:$E$91</c:f>
              <c:numCache/>
            </c:numRef>
          </c:val>
        </c:ser>
        <c:axId val="440873428"/>
        <c:axId val="277442943"/>
      </c:bar3DChart>
      <c:catAx>
        <c:axId val="4408734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77442943"/>
      </c:catAx>
      <c:valAx>
        <c:axId val="27744294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8734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07/04/2026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Graficos!$C$92:$C$101</c:f>
            </c:strRef>
          </c:cat>
          <c:val>
            <c:numRef>
              <c:f>Graficos!$D$92:$D$101</c:f>
              <c:numCache/>
            </c:numRef>
          </c:val>
        </c:ser>
        <c:ser>
          <c:idx val="1"/>
          <c:order val="1"/>
          <c:cat>
            <c:strRef>
              <c:f>Graficos!$C$92:$C$101</c:f>
            </c:strRef>
          </c:cat>
          <c:val>
            <c:numRef>
              <c:f>Graficos!$E$92:$E$101</c:f>
              <c:numCache/>
            </c:numRef>
          </c:val>
        </c:ser>
        <c:axId val="1219296763"/>
        <c:axId val="2013871177"/>
      </c:bar3DChart>
      <c:catAx>
        <c:axId val="12192967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13871177"/>
      </c:catAx>
      <c:valAx>
        <c:axId val="2013871177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2967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07/04/2026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Graficos!$C$102:$C$111</c:f>
            </c:strRef>
          </c:cat>
          <c:val>
            <c:numRef>
              <c:f>Graficos!$D$102:$D$111</c:f>
              <c:numCache/>
            </c:numRef>
          </c:val>
        </c:ser>
        <c:ser>
          <c:idx val="1"/>
          <c:order val="1"/>
          <c:cat>
            <c:strRef>
              <c:f>Graficos!$C$102:$C$111</c:f>
            </c:strRef>
          </c:cat>
          <c:val>
            <c:numRef>
              <c:f>Graficos!$E$102:$E$111</c:f>
              <c:numCache/>
            </c:numRef>
          </c:val>
        </c:ser>
        <c:axId val="627168421"/>
        <c:axId val="825815259"/>
      </c:bar3DChart>
      <c:catAx>
        <c:axId val="6271684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25815259"/>
      </c:catAx>
      <c:valAx>
        <c:axId val="825815259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1684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07/04/2026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Graficos!$C$112:$C$121</c:f>
            </c:strRef>
          </c:cat>
          <c:val>
            <c:numRef>
              <c:f>Graficos!$D$112:$D$121</c:f>
              <c:numCache/>
            </c:numRef>
          </c:val>
        </c:ser>
        <c:ser>
          <c:idx val="1"/>
          <c:order val="1"/>
          <c:cat>
            <c:strRef>
              <c:f>Graficos!$C$112:$C$121</c:f>
            </c:strRef>
          </c:cat>
          <c:val>
            <c:numRef>
              <c:f>Graficos!$E$112:$E$121</c:f>
              <c:numCache/>
            </c:numRef>
          </c:val>
        </c:ser>
        <c:axId val="314702901"/>
        <c:axId val="1536560005"/>
      </c:bar3DChart>
      <c:catAx>
        <c:axId val="3147029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36560005"/>
      </c:catAx>
      <c:valAx>
        <c:axId val="153656000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7029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06/04/2026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Graficos!$C$122:$C$131</c:f>
            </c:strRef>
          </c:cat>
          <c:val>
            <c:numRef>
              <c:f>Graficos!$D$122:$D$131</c:f>
              <c:numCache/>
            </c:numRef>
          </c:val>
        </c:ser>
        <c:ser>
          <c:idx val="1"/>
          <c:order val="1"/>
          <c:cat>
            <c:strRef>
              <c:f>Graficos!$C$122:$C$131</c:f>
            </c:strRef>
          </c:cat>
          <c:val>
            <c:numRef>
              <c:f>Graficos!$E$122:$E$131</c:f>
              <c:numCache/>
            </c:numRef>
          </c:val>
        </c:ser>
        <c:axId val="356917742"/>
        <c:axId val="184344778"/>
      </c:bar3DChart>
      <c:catAx>
        <c:axId val="3569177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4344778"/>
      </c:catAx>
      <c:valAx>
        <c:axId val="184344778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9177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06/04/2026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Graficos!$C$132:$C$141</c:f>
            </c:strRef>
          </c:cat>
          <c:val>
            <c:numRef>
              <c:f>Graficos!$D$132:$D$141</c:f>
              <c:numCache/>
            </c:numRef>
          </c:val>
        </c:ser>
        <c:ser>
          <c:idx val="1"/>
          <c:order val="1"/>
          <c:cat>
            <c:strRef>
              <c:f>Graficos!$C$132:$C$141</c:f>
            </c:strRef>
          </c:cat>
          <c:val>
            <c:numRef>
              <c:f>Graficos!$E$132:$E$141</c:f>
              <c:numCache/>
            </c:numRef>
          </c:val>
        </c:ser>
        <c:axId val="337107618"/>
        <c:axId val="642765703"/>
      </c:bar3DChart>
      <c:catAx>
        <c:axId val="3371076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42765703"/>
      </c:catAx>
      <c:valAx>
        <c:axId val="64276570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1076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06/04/2026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Graficos!$C$142:$C$151</c:f>
            </c:strRef>
          </c:cat>
          <c:val>
            <c:numRef>
              <c:f>Graficos!$D$142:$D$151</c:f>
              <c:numCache/>
            </c:numRef>
          </c:val>
        </c:ser>
        <c:ser>
          <c:idx val="1"/>
          <c:order val="1"/>
          <c:cat>
            <c:strRef>
              <c:f>Graficos!$C$142:$C$151</c:f>
            </c:strRef>
          </c:cat>
          <c:val>
            <c:numRef>
              <c:f>Graficos!$E$142:$E$151</c:f>
              <c:numCache/>
            </c:numRef>
          </c:val>
        </c:ser>
        <c:axId val="314163195"/>
        <c:axId val="1295540395"/>
      </c:bar3DChart>
      <c:catAx>
        <c:axId val="3141631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95540395"/>
      </c:catAx>
      <c:valAx>
        <c:axId val="129554039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1631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05/04/2026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Graficos!$C$152:$C$161</c:f>
            </c:strRef>
          </c:cat>
          <c:val>
            <c:numRef>
              <c:f>Graficos!$D$152:$D$161</c:f>
              <c:numCache/>
            </c:numRef>
          </c:val>
        </c:ser>
        <c:ser>
          <c:idx val="1"/>
          <c:order val="1"/>
          <c:cat>
            <c:strRef>
              <c:f>Graficos!$C$152:$C$161</c:f>
            </c:strRef>
          </c:cat>
          <c:val>
            <c:numRef>
              <c:f>Graficos!$E$152:$E$161</c:f>
              <c:numCache/>
            </c:numRef>
          </c:val>
        </c:ser>
        <c:axId val="1302328811"/>
        <c:axId val="1512825194"/>
      </c:bar3DChart>
      <c:catAx>
        <c:axId val="13023288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12825194"/>
      </c:catAx>
      <c:valAx>
        <c:axId val="1512825194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3288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05/04/2026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Graficos!$C$162:$C$171</c:f>
            </c:strRef>
          </c:cat>
          <c:val>
            <c:numRef>
              <c:f>Graficos!$D$162:$D$171</c:f>
              <c:numCache/>
            </c:numRef>
          </c:val>
        </c:ser>
        <c:ser>
          <c:idx val="1"/>
          <c:order val="1"/>
          <c:cat>
            <c:strRef>
              <c:f>Graficos!$C$162:$C$171</c:f>
            </c:strRef>
          </c:cat>
          <c:val>
            <c:numRef>
              <c:f>Graficos!$E$162:$E$171</c:f>
              <c:numCache/>
            </c:numRef>
          </c:val>
        </c:ser>
        <c:axId val="1752419265"/>
        <c:axId val="732383017"/>
      </c:bar3DChart>
      <c:catAx>
        <c:axId val="17524192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32383017"/>
      </c:catAx>
      <c:valAx>
        <c:axId val="732383017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4192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05/04/2026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Graficos!$C$172:$C$181</c:f>
            </c:strRef>
          </c:cat>
          <c:val>
            <c:numRef>
              <c:f>Graficos!$D$172:$D$181</c:f>
              <c:numCache/>
            </c:numRef>
          </c:val>
        </c:ser>
        <c:ser>
          <c:idx val="1"/>
          <c:order val="1"/>
          <c:cat>
            <c:strRef>
              <c:f>Graficos!$C$172:$C$181</c:f>
            </c:strRef>
          </c:cat>
          <c:val>
            <c:numRef>
              <c:f>Graficos!$E$172:$E$181</c:f>
              <c:numCache/>
            </c:numRef>
          </c:val>
        </c:ser>
        <c:axId val="454552786"/>
        <c:axId val="1475934370"/>
      </c:bar3DChart>
      <c:catAx>
        <c:axId val="4545527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75934370"/>
      </c:catAx>
      <c:valAx>
        <c:axId val="1475934370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5527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04/04/2026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Graficos!$C$182:$C$191</c:f>
            </c:strRef>
          </c:cat>
          <c:val>
            <c:numRef>
              <c:f>Graficos!$D$182:$D$191</c:f>
              <c:numCache/>
            </c:numRef>
          </c:val>
        </c:ser>
        <c:ser>
          <c:idx val="1"/>
          <c:order val="1"/>
          <c:cat>
            <c:strRef>
              <c:f>Graficos!$C$182:$C$191</c:f>
            </c:strRef>
          </c:cat>
          <c:val>
            <c:numRef>
              <c:f>Graficos!$E$182:$E$191</c:f>
              <c:numCache/>
            </c:numRef>
          </c:val>
        </c:ser>
        <c:axId val="1590099201"/>
        <c:axId val="1229212620"/>
      </c:bar3DChart>
      <c:catAx>
        <c:axId val="15900992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29212620"/>
      </c:catAx>
      <c:valAx>
        <c:axId val="1229212620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0992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04/04/2026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Graficos!$C$192:$C$201</c:f>
            </c:strRef>
          </c:cat>
          <c:val>
            <c:numRef>
              <c:f>Graficos!$D$192:$D$201</c:f>
              <c:numCache/>
            </c:numRef>
          </c:val>
        </c:ser>
        <c:ser>
          <c:idx val="1"/>
          <c:order val="1"/>
          <c:cat>
            <c:strRef>
              <c:f>Graficos!$C$192:$C$201</c:f>
            </c:strRef>
          </c:cat>
          <c:val>
            <c:numRef>
              <c:f>Graficos!$E$192:$E$201</c:f>
              <c:numCache/>
            </c:numRef>
          </c:val>
        </c:ser>
        <c:axId val="783621736"/>
        <c:axId val="229170643"/>
      </c:bar3DChart>
      <c:catAx>
        <c:axId val="7836217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29170643"/>
      </c:catAx>
      <c:valAx>
        <c:axId val="22917064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6217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04/04/2026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Graficos!$C$202:$C$211</c:f>
            </c:strRef>
          </c:cat>
          <c:val>
            <c:numRef>
              <c:f>Graficos!$D$202:$D$211</c:f>
              <c:numCache/>
            </c:numRef>
          </c:val>
        </c:ser>
        <c:ser>
          <c:idx val="1"/>
          <c:order val="1"/>
          <c:cat>
            <c:strRef>
              <c:f>Graficos!$C$202:$C$211</c:f>
            </c:strRef>
          </c:cat>
          <c:val>
            <c:numRef>
              <c:f>Graficos!$E$202:$E$211</c:f>
              <c:numCache/>
            </c:numRef>
          </c:val>
        </c:ser>
        <c:axId val="452364299"/>
        <c:axId val="1021570221"/>
      </c:bar3DChart>
      <c:catAx>
        <c:axId val="4523642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21570221"/>
      </c:catAx>
      <c:valAx>
        <c:axId val="1021570221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3642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03/04/2026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Graficos!$C$212:$C$221</c:f>
            </c:strRef>
          </c:cat>
          <c:val>
            <c:numRef>
              <c:f>Graficos!$D$212:$D$221</c:f>
              <c:numCache/>
            </c:numRef>
          </c:val>
        </c:ser>
        <c:ser>
          <c:idx val="1"/>
          <c:order val="1"/>
          <c:cat>
            <c:strRef>
              <c:f>Graficos!$C$212:$C$221</c:f>
            </c:strRef>
          </c:cat>
          <c:val>
            <c:numRef>
              <c:f>Graficos!$E$212:$E$221</c:f>
              <c:numCache/>
            </c:numRef>
          </c:val>
        </c:ser>
        <c:axId val="1562777969"/>
        <c:axId val="1445327086"/>
      </c:bar3DChart>
      <c:catAx>
        <c:axId val="15627779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45327086"/>
      </c:catAx>
      <c:valAx>
        <c:axId val="1445327086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7779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03/04/2026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Graficos!$C$222:$C$231</c:f>
            </c:strRef>
          </c:cat>
          <c:val>
            <c:numRef>
              <c:f>Graficos!$D$222:$D$231</c:f>
              <c:numCache/>
            </c:numRef>
          </c:val>
        </c:ser>
        <c:ser>
          <c:idx val="1"/>
          <c:order val="1"/>
          <c:cat>
            <c:strRef>
              <c:f>Graficos!$C$222:$C$231</c:f>
            </c:strRef>
          </c:cat>
          <c:val>
            <c:numRef>
              <c:f>Graficos!$E$222:$E$231</c:f>
              <c:numCache/>
            </c:numRef>
          </c:val>
        </c:ser>
        <c:axId val="595607042"/>
        <c:axId val="1782196125"/>
      </c:bar3DChart>
      <c:catAx>
        <c:axId val="5956070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82196125"/>
      </c:catAx>
      <c:valAx>
        <c:axId val="178219612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6070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03/04/2026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Graficos!$C$232:$C$241</c:f>
            </c:strRef>
          </c:cat>
          <c:val>
            <c:numRef>
              <c:f>Graficos!$D$232:$D$241</c:f>
              <c:numCache/>
            </c:numRef>
          </c:val>
        </c:ser>
        <c:ser>
          <c:idx val="1"/>
          <c:order val="1"/>
          <c:cat>
            <c:strRef>
              <c:f>Graficos!$C$232:$C$241</c:f>
            </c:strRef>
          </c:cat>
          <c:val>
            <c:numRef>
              <c:f>Graficos!$E$232:$E$241</c:f>
              <c:numCache/>
            </c:numRef>
          </c:val>
        </c:ser>
        <c:axId val="502268816"/>
        <c:axId val="446435963"/>
      </c:bar3DChart>
      <c:catAx>
        <c:axId val="5022688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46435963"/>
      </c:catAx>
      <c:valAx>
        <c:axId val="44643596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2688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02/04/2026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Graficos!$C$242:$C$251</c:f>
            </c:strRef>
          </c:cat>
          <c:val>
            <c:numRef>
              <c:f>Graficos!$D$242:$D$251</c:f>
              <c:numCache/>
            </c:numRef>
          </c:val>
        </c:ser>
        <c:ser>
          <c:idx val="1"/>
          <c:order val="1"/>
          <c:cat>
            <c:strRef>
              <c:f>Graficos!$C$242:$C$251</c:f>
            </c:strRef>
          </c:cat>
          <c:val>
            <c:numRef>
              <c:f>Graficos!$E$242:$E$251</c:f>
              <c:numCache/>
            </c:numRef>
          </c:val>
        </c:ser>
        <c:axId val="1394403868"/>
        <c:axId val="1796357513"/>
      </c:bar3DChart>
      <c:catAx>
        <c:axId val="13944038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96357513"/>
      </c:catAx>
      <c:valAx>
        <c:axId val="1796357513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4038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02/04/2026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Graficos!$C$252:$C$261</c:f>
            </c:strRef>
          </c:cat>
          <c:val>
            <c:numRef>
              <c:f>Graficos!$D$252:$D$261</c:f>
              <c:numCache/>
            </c:numRef>
          </c:val>
        </c:ser>
        <c:ser>
          <c:idx val="1"/>
          <c:order val="1"/>
          <c:cat>
            <c:strRef>
              <c:f>Graficos!$C$252:$C$261</c:f>
            </c:strRef>
          </c:cat>
          <c:val>
            <c:numRef>
              <c:f>Graficos!$E$252:$E$261</c:f>
              <c:numCache/>
            </c:numRef>
          </c:val>
        </c:ser>
        <c:axId val="1671852275"/>
        <c:axId val="892058100"/>
      </c:bar3DChart>
      <c:catAx>
        <c:axId val="16718522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92058100"/>
      </c:catAx>
      <c:valAx>
        <c:axId val="892058100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8522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02/04/2026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Graficos!$C$262:$C$271</c:f>
            </c:strRef>
          </c:cat>
          <c:val>
            <c:numRef>
              <c:f>Graficos!$D$262:$D$271</c:f>
              <c:numCache/>
            </c:numRef>
          </c:val>
        </c:ser>
        <c:ser>
          <c:idx val="1"/>
          <c:order val="1"/>
          <c:cat>
            <c:strRef>
              <c:f>Graficos!$C$262:$C$271</c:f>
            </c:strRef>
          </c:cat>
          <c:val>
            <c:numRef>
              <c:f>Graficos!$E$262:$E$271</c:f>
              <c:numCache/>
            </c:numRef>
          </c:val>
        </c:ser>
        <c:axId val="1393337199"/>
        <c:axId val="1949946065"/>
      </c:bar3DChart>
      <c:catAx>
        <c:axId val="13933371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49946065"/>
      </c:catAx>
      <c:valAx>
        <c:axId val="194994606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3371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01/04/2026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Graficos!$C$272:$C$281</c:f>
            </c:strRef>
          </c:cat>
          <c:val>
            <c:numRef>
              <c:f>Graficos!$D$272:$D$281</c:f>
              <c:numCache/>
            </c:numRef>
          </c:val>
        </c:ser>
        <c:ser>
          <c:idx val="1"/>
          <c:order val="1"/>
          <c:cat>
            <c:strRef>
              <c:f>Graficos!$C$272:$C$281</c:f>
            </c:strRef>
          </c:cat>
          <c:val>
            <c:numRef>
              <c:f>Graficos!$E$272:$E$281</c:f>
              <c:numCache/>
            </c:numRef>
          </c:val>
        </c:ser>
        <c:axId val="1196761652"/>
        <c:axId val="1873638197"/>
      </c:bar3DChart>
      <c:catAx>
        <c:axId val="11967616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73638197"/>
      </c:catAx>
      <c:valAx>
        <c:axId val="1873638197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7616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01/04/2026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Graficos!$C$282:$C$291</c:f>
            </c:strRef>
          </c:cat>
          <c:val>
            <c:numRef>
              <c:f>Graficos!$D$282:$D$291</c:f>
              <c:numCache/>
            </c:numRef>
          </c:val>
        </c:ser>
        <c:ser>
          <c:idx val="1"/>
          <c:order val="1"/>
          <c:cat>
            <c:strRef>
              <c:f>Graficos!$C$282:$C$291</c:f>
            </c:strRef>
          </c:cat>
          <c:val>
            <c:numRef>
              <c:f>Graficos!$E$282:$E$291</c:f>
              <c:numCache/>
            </c:numRef>
          </c:val>
        </c:ser>
        <c:axId val="908803128"/>
        <c:axId val="284655805"/>
      </c:bar3DChart>
      <c:catAx>
        <c:axId val="9088031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84655805"/>
      </c:catAx>
      <c:valAx>
        <c:axId val="28465580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8031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 01/04/2026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5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9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Graficos!$C$292:$C$301</c:f>
            </c:strRef>
          </c:cat>
          <c:val>
            <c:numRef>
              <c:f>Graficos!$D$292:$D$301</c:f>
              <c:numCache/>
            </c:numRef>
          </c:val>
        </c:ser>
        <c:ser>
          <c:idx val="1"/>
          <c:order val="1"/>
          <c:cat>
            <c:strRef>
              <c:f>Graficos!$C$292:$C$301</c:f>
            </c:strRef>
          </c:cat>
          <c:val>
            <c:numRef>
              <c:f>Graficos!$E$292:$E$301</c:f>
              <c:numCache/>
            </c:numRef>
          </c:val>
        </c:ser>
        <c:axId val="2050072328"/>
        <c:axId val="379647858"/>
      </c:bar3DChart>
      <c:catAx>
        <c:axId val="20500723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79647858"/>
      </c:catAx>
      <c:valAx>
        <c:axId val="379647858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0723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Média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'Tabela dinâmica '!$A$2:$A$4</c:f>
            </c:strRef>
          </c:cat>
          <c:val>
            <c:numRef>
              <c:f>'Tabela dinâmica '!$B$2:$B$4</c:f>
              <c:numCache/>
            </c:numRef>
          </c:val>
        </c:ser>
        <c:ser>
          <c:idx val="1"/>
          <c:order val="1"/>
          <c:tx>
            <c:v>Máximo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'Tabela dinâmica '!$A$2:$A$4</c:f>
            </c:strRef>
          </c:cat>
          <c:val>
            <c:numRef>
              <c:f>'Tabela dinâmica '!$C$2:$C$4</c:f>
              <c:numCache/>
            </c:numRef>
          </c:val>
        </c:ser>
        <c:axId val="2125723762"/>
        <c:axId val="2055141357"/>
      </c:bar3DChart>
      <c:catAx>
        <c:axId val="2125723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>
                    <a:solidFill>
                      <a:srgbClr val="000000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2055141357"/>
      </c:catAx>
      <c:valAx>
        <c:axId val="2055141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>
                    <a:solidFill>
                      <a:srgbClr val="000000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2125723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 01 a 10/04/2026 ás 7:30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'minimo-maximo'!$B$4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'minimo-maximo'!$A$5:$A$14</c:f>
            </c:strRef>
          </c:cat>
          <c:val>
            <c:numRef>
              <c:f>'minimo-maximo'!$B$5:$B$14</c:f>
              <c:numCache/>
            </c:numRef>
          </c:val>
        </c:ser>
        <c:ser>
          <c:idx val="1"/>
          <c:order val="1"/>
          <c:tx>
            <c:strRef>
              <c:f>'minimo-maximo'!$C$4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'minimo-maximo'!$A$5:$A$14</c:f>
            </c:strRef>
          </c:cat>
          <c:val>
            <c:numRef>
              <c:f>'minimo-maximo'!$C$5:$C$14</c:f>
              <c:numCache/>
            </c:numRef>
          </c:val>
        </c:ser>
        <c:ser>
          <c:idx val="2"/>
          <c:order val="2"/>
          <c:tx>
            <c:strRef>
              <c:f>'minimo-maximo'!$D$4</c:f>
            </c:strRef>
          </c:tx>
          <c:cat>
            <c:strRef>
              <c:f>'minimo-maximo'!$A$5:$A$14</c:f>
            </c:strRef>
          </c:cat>
          <c:val>
            <c:numRef>
              <c:f>'minimo-maximo'!$D$5:$D$14</c:f>
              <c:numCache/>
            </c:numRef>
          </c:val>
        </c:ser>
        <c:axId val="1753906618"/>
        <c:axId val="1778651533"/>
      </c:bar3DChart>
      <c:catAx>
        <c:axId val="17539066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651533"/>
      </c:catAx>
      <c:valAx>
        <c:axId val="17786515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9066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 01 a 10/04/2026 ás 12:30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'minimo-maximo'!$B$33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'minimo-maximo'!$A$34:$A$43</c:f>
            </c:strRef>
          </c:cat>
          <c:val>
            <c:numRef>
              <c:f>'minimo-maximo'!$B$34:$B$43</c:f>
              <c:numCache/>
            </c:numRef>
          </c:val>
        </c:ser>
        <c:ser>
          <c:idx val="1"/>
          <c:order val="1"/>
          <c:tx>
            <c:strRef>
              <c:f>'minimo-maximo'!$C$33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'minimo-maximo'!$A$34:$A$43</c:f>
            </c:strRef>
          </c:cat>
          <c:val>
            <c:numRef>
              <c:f>'minimo-maximo'!$C$34:$C$43</c:f>
              <c:numCache/>
            </c:numRef>
          </c:val>
        </c:ser>
        <c:ser>
          <c:idx val="2"/>
          <c:order val="2"/>
          <c:tx>
            <c:strRef>
              <c:f>'minimo-maximo'!$D$33</c:f>
            </c:strRef>
          </c:tx>
          <c:cat>
            <c:strRef>
              <c:f>'minimo-maximo'!$A$34:$A$43</c:f>
            </c:strRef>
          </c:cat>
          <c:val>
            <c:numRef>
              <c:f>'minimo-maximo'!$D$34:$D$43</c:f>
              <c:numCache/>
            </c:numRef>
          </c:val>
        </c:ser>
        <c:axId val="339169511"/>
        <c:axId val="1463090734"/>
      </c:bar3DChart>
      <c:catAx>
        <c:axId val="3391695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090734"/>
      </c:catAx>
      <c:valAx>
        <c:axId val="14630907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1695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 01 a 10/04/2026 ás 18:30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'minimo-maximo'!$B$59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'minimo-maximo'!$A$60:$A$69</c:f>
            </c:strRef>
          </c:cat>
          <c:val>
            <c:numRef>
              <c:f>'minimo-maximo'!$B$60:$B$69</c:f>
              <c:numCache/>
            </c:numRef>
          </c:val>
        </c:ser>
        <c:ser>
          <c:idx val="1"/>
          <c:order val="1"/>
          <c:tx>
            <c:strRef>
              <c:f>'minimo-maximo'!$C$59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'minimo-maximo'!$A$60:$A$69</c:f>
            </c:strRef>
          </c:cat>
          <c:val>
            <c:numRef>
              <c:f>'minimo-maximo'!$C$60:$C$69</c:f>
              <c:numCache/>
            </c:numRef>
          </c:val>
        </c:ser>
        <c:ser>
          <c:idx val="2"/>
          <c:order val="2"/>
          <c:tx>
            <c:strRef>
              <c:f>'minimo-maximo'!$D$59</c:f>
            </c:strRef>
          </c:tx>
          <c:cat>
            <c:strRef>
              <c:f>'minimo-maximo'!$A$60:$A$69</c:f>
            </c:strRef>
          </c:cat>
          <c:val>
            <c:numRef>
              <c:f>'minimo-maximo'!$D$60:$D$69</c:f>
              <c:numCache/>
            </c:numRef>
          </c:val>
        </c:ser>
        <c:axId val="1383589191"/>
        <c:axId val="1485729098"/>
      </c:bar3DChart>
      <c:catAx>
        <c:axId val="13835891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85729098"/>
      </c:catAx>
      <c:valAx>
        <c:axId val="14857290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5891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 01 a 10/04/2026 ás 7:30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'Cópia de minimo-maximo'!$B$4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'Cópia de minimo-maximo'!$A$5:$A$14</c:f>
            </c:strRef>
          </c:cat>
          <c:val>
            <c:numRef>
              <c:f>'Cópia de minimo-maximo'!$B$5:$B$14</c:f>
              <c:numCache/>
            </c:numRef>
          </c:val>
        </c:ser>
        <c:ser>
          <c:idx val="1"/>
          <c:order val="1"/>
          <c:tx>
            <c:strRef>
              <c:f>'Cópia de minimo-maximo'!$C$4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'Cópia de minimo-maximo'!$A$5:$A$14</c:f>
            </c:strRef>
          </c:cat>
          <c:val>
            <c:numRef>
              <c:f>'Cópia de minimo-maximo'!$C$5:$C$14</c:f>
              <c:numCache/>
            </c:numRef>
          </c:val>
        </c:ser>
        <c:ser>
          <c:idx val="2"/>
          <c:order val="2"/>
          <c:tx>
            <c:strRef>
              <c:f>'Cópia de minimo-maximo'!$D$4</c:f>
            </c:strRef>
          </c:tx>
          <c:cat>
            <c:strRef>
              <c:f>'Cópia de minimo-maximo'!$A$5:$A$14</c:f>
            </c:strRef>
          </c:cat>
          <c:val>
            <c:numRef>
              <c:f>'Cópia de minimo-maximo'!$D$5:$D$14</c:f>
              <c:numCache/>
            </c:numRef>
          </c:val>
        </c:ser>
        <c:axId val="644594290"/>
        <c:axId val="106099441"/>
      </c:barChart>
      <c:catAx>
        <c:axId val="644594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99441"/>
      </c:catAx>
      <c:valAx>
        <c:axId val="106099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594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 01 a 10/04/2026 ás 12:30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'Cópia de minimo-maximo'!$B$33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'Cópia de minimo-maximo'!$A$34:$A$43</c:f>
            </c:strRef>
          </c:cat>
          <c:val>
            <c:numRef>
              <c:f>'Cópia de minimo-maximo'!$B$34:$B$43</c:f>
              <c:numCache/>
            </c:numRef>
          </c:val>
        </c:ser>
        <c:ser>
          <c:idx val="1"/>
          <c:order val="1"/>
          <c:tx>
            <c:strRef>
              <c:f>'Cópia de minimo-maximo'!$C$33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'Cópia de minimo-maximo'!$A$34:$A$43</c:f>
            </c:strRef>
          </c:cat>
          <c:val>
            <c:numRef>
              <c:f>'Cópia de minimo-maximo'!$C$34:$C$43</c:f>
              <c:numCache/>
            </c:numRef>
          </c:val>
        </c:ser>
        <c:ser>
          <c:idx val="2"/>
          <c:order val="2"/>
          <c:tx>
            <c:strRef>
              <c:f>'Cópia de minimo-maximo'!$D$33</c:f>
            </c:strRef>
          </c:tx>
          <c:cat>
            <c:strRef>
              <c:f>'Cópia de minimo-maximo'!$A$34:$A$43</c:f>
            </c:strRef>
          </c:cat>
          <c:val>
            <c:numRef>
              <c:f>'Cópia de minimo-maximo'!$D$34:$D$43</c:f>
              <c:numCache/>
            </c:numRef>
          </c:val>
        </c:ser>
        <c:axId val="394635548"/>
        <c:axId val="914145295"/>
      </c:barChart>
      <c:catAx>
        <c:axId val="394635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145295"/>
      </c:catAx>
      <c:valAx>
        <c:axId val="914145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635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Dia 01 a 10/04/2026 ás 18:30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'Cópia de minimo-maximo'!$B$59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'Cópia de minimo-maximo'!$A$60:$A$69</c:f>
            </c:strRef>
          </c:cat>
          <c:val>
            <c:numRef>
              <c:f>'Cópia de minimo-maximo'!$B$60:$B$69</c:f>
              <c:numCache/>
            </c:numRef>
          </c:val>
        </c:ser>
        <c:ser>
          <c:idx val="1"/>
          <c:order val="1"/>
          <c:tx>
            <c:strRef>
              <c:f>'Cópia de minimo-maximo'!$C$59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'Cópia de minimo-maximo'!$A$60:$A$69</c:f>
            </c:strRef>
          </c:cat>
          <c:val>
            <c:numRef>
              <c:f>'Cópia de minimo-maximo'!$C$60:$C$69</c:f>
              <c:numCache/>
            </c:numRef>
          </c:val>
        </c:ser>
        <c:ser>
          <c:idx val="2"/>
          <c:order val="2"/>
          <c:tx>
            <c:strRef>
              <c:f>'Cópia de minimo-maximo'!$D$59</c:f>
            </c:strRef>
          </c:tx>
          <c:cat>
            <c:strRef>
              <c:f>'Cópia de minimo-maximo'!$A$60:$A$69</c:f>
            </c:strRef>
          </c:cat>
          <c:val>
            <c:numRef>
              <c:f>'Cópia de minimo-maximo'!$D$60:$D$69</c:f>
              <c:numCache/>
            </c:numRef>
          </c:val>
        </c:ser>
        <c:axId val="1370410558"/>
        <c:axId val="1922459763"/>
      </c:barChart>
      <c:catAx>
        <c:axId val="1370410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2459763"/>
      </c:catAx>
      <c:valAx>
        <c:axId val="1922459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410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29" Type="http://schemas.openxmlformats.org/officeDocument/2006/relationships/chart" Target="../charts/chart29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30" Type="http://schemas.openxmlformats.org/officeDocument/2006/relationships/chart" Target="../charts/chart3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895350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819150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</xdr:colOff>
      <xdr:row>19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895350</xdr:colOff>
      <xdr:row>18</xdr:row>
      <xdr:rowOff>200025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819150</xdr:colOff>
      <xdr:row>18</xdr:row>
      <xdr:rowOff>200025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</xdr:colOff>
      <xdr:row>37</xdr:row>
      <xdr:rowOff>200025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895350</xdr:colOff>
      <xdr:row>38</xdr:row>
      <xdr:rowOff>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18</xdr:col>
      <xdr:colOff>819150</xdr:colOff>
      <xdr:row>37</xdr:row>
      <xdr:rowOff>190500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9525</xdr:colOff>
      <xdr:row>57</xdr:row>
      <xdr:rowOff>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12</xdr:col>
      <xdr:colOff>895350</xdr:colOff>
      <xdr:row>56</xdr:row>
      <xdr:rowOff>200025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18</xdr:col>
      <xdr:colOff>819150</xdr:colOff>
      <xdr:row>56</xdr:row>
      <xdr:rowOff>200025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</xdr:col>
      <xdr:colOff>9525</xdr:colOff>
      <xdr:row>76</xdr:row>
      <xdr:rowOff>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12</xdr:col>
      <xdr:colOff>895350</xdr:colOff>
      <xdr:row>76</xdr:row>
      <xdr:rowOff>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18</xdr:col>
      <xdr:colOff>819150</xdr:colOff>
      <xdr:row>76</xdr:row>
      <xdr:rowOff>0</xdr:rowOff>
    </xdr:from>
    <xdr:ext cx="5715000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9525</xdr:colOff>
      <xdr:row>95</xdr:row>
      <xdr:rowOff>0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12</xdr:col>
      <xdr:colOff>895350</xdr:colOff>
      <xdr:row>94</xdr:row>
      <xdr:rowOff>200025</xdr:rowOff>
    </xdr:from>
    <xdr:ext cx="5715000" cy="35337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18</xdr:col>
      <xdr:colOff>819150</xdr:colOff>
      <xdr:row>94</xdr:row>
      <xdr:rowOff>200025</xdr:rowOff>
    </xdr:from>
    <xdr:ext cx="5715000" cy="35337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7</xdr:col>
      <xdr:colOff>9525</xdr:colOff>
      <xdr:row>114</xdr:row>
      <xdr:rowOff>0</xdr:rowOff>
    </xdr:from>
    <xdr:ext cx="5715000" cy="35337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12</xdr:col>
      <xdr:colOff>895350</xdr:colOff>
      <xdr:row>113</xdr:row>
      <xdr:rowOff>200025</xdr:rowOff>
    </xdr:from>
    <xdr:ext cx="5715000" cy="35337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18</xdr:col>
      <xdr:colOff>819150</xdr:colOff>
      <xdr:row>114</xdr:row>
      <xdr:rowOff>0</xdr:rowOff>
    </xdr:from>
    <xdr:ext cx="5715000" cy="35337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9525</xdr:colOff>
      <xdr:row>133</xdr:row>
      <xdr:rowOff>0</xdr:rowOff>
    </xdr:from>
    <xdr:ext cx="5715000" cy="35337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12</xdr:col>
      <xdr:colOff>895350</xdr:colOff>
      <xdr:row>132</xdr:row>
      <xdr:rowOff>200025</xdr:rowOff>
    </xdr:from>
    <xdr:ext cx="5715000" cy="353377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819150</xdr:colOff>
      <xdr:row>132</xdr:row>
      <xdr:rowOff>200025</xdr:rowOff>
    </xdr:from>
    <xdr:ext cx="5715000" cy="353377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7</xdr:col>
      <xdr:colOff>9525</xdr:colOff>
      <xdr:row>152</xdr:row>
      <xdr:rowOff>0</xdr:rowOff>
    </xdr:from>
    <xdr:ext cx="5715000" cy="353377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12</xdr:col>
      <xdr:colOff>895350</xdr:colOff>
      <xdr:row>152</xdr:row>
      <xdr:rowOff>0</xdr:rowOff>
    </xdr:from>
    <xdr:ext cx="5715000" cy="3533775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18</xdr:col>
      <xdr:colOff>819150</xdr:colOff>
      <xdr:row>152</xdr:row>
      <xdr:rowOff>0</xdr:rowOff>
    </xdr:from>
    <xdr:ext cx="5715000" cy="3533775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7</xdr:col>
      <xdr:colOff>9525</xdr:colOff>
      <xdr:row>171</xdr:row>
      <xdr:rowOff>0</xdr:rowOff>
    </xdr:from>
    <xdr:ext cx="5715000" cy="3533775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12</xdr:col>
      <xdr:colOff>895350</xdr:colOff>
      <xdr:row>171</xdr:row>
      <xdr:rowOff>0</xdr:rowOff>
    </xdr:from>
    <xdr:ext cx="5715000" cy="3533775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18</xdr:col>
      <xdr:colOff>819150</xdr:colOff>
      <xdr:row>171</xdr:row>
      <xdr:rowOff>0</xdr:rowOff>
    </xdr:from>
    <xdr:ext cx="5715000" cy="3533775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6</xdr:row>
      <xdr:rowOff>161925</xdr:rowOff>
    </xdr:from>
    <xdr:ext cx="5715000" cy="3533775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0</xdr:row>
      <xdr:rowOff>76200</xdr:rowOff>
    </xdr:from>
    <xdr:ext cx="6829425" cy="4238625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438150</xdr:colOff>
      <xdr:row>25</xdr:row>
      <xdr:rowOff>95250</xdr:rowOff>
    </xdr:from>
    <xdr:ext cx="6829425" cy="4238625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342900</xdr:colOff>
      <xdr:row>56</xdr:row>
      <xdr:rowOff>47625</xdr:rowOff>
    </xdr:from>
    <xdr:ext cx="6829425" cy="4238625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0</xdr:row>
      <xdr:rowOff>76200</xdr:rowOff>
    </xdr:from>
    <xdr:ext cx="6829425" cy="4238625"/>
    <xdr:graphicFrame>
      <xdr:nvGraphicFramePr>
        <xdr:cNvPr id="35" name="Chart 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438150</xdr:colOff>
      <xdr:row>25</xdr:row>
      <xdr:rowOff>95250</xdr:rowOff>
    </xdr:from>
    <xdr:ext cx="6829425" cy="4238625"/>
    <xdr:graphicFrame>
      <xdr:nvGraphicFramePr>
        <xdr:cNvPr id="36" name="Chart 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342900</xdr:colOff>
      <xdr:row>56</xdr:row>
      <xdr:rowOff>47625</xdr:rowOff>
    </xdr:from>
    <xdr:ext cx="6829425" cy="4238625"/>
    <xdr:graphicFrame>
      <xdr:nvGraphicFramePr>
        <xdr:cNvPr id="37" name="Chart 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01" sheet="Graficos"/>
  </cacheSource>
  <cacheFields>
    <cacheField name="Data" numFmtId="164">
      <sharedItems containsSemiMixedTypes="0" containsDate="1" containsString="0">
        <d v="2026-04-10T00:00:00Z"/>
        <d v="2026-04-09T00:00:00Z"/>
        <d v="2026-04-08T00:00:00Z"/>
        <d v="2026-04-07T00:00:00Z"/>
        <d v="2026-04-06T00:00:00Z"/>
        <d v="2026-04-05T00:00:00Z"/>
        <d v="2026-04-04T00:00:00Z"/>
        <d v="2026-04-03T00:00:00Z"/>
        <d v="2026-04-02T00:00:00Z"/>
        <d v="2026-04-01T00:00:00Z"/>
      </sharedItems>
    </cacheField>
    <cacheField name="Horário" numFmtId="165">
      <sharedItems containsSemiMixedTypes="0" containsDate="1" containsString="0">
        <d v="1899-12-30T07:30:00Z"/>
        <d v="1899-12-30T12:30:00Z"/>
        <d v="1899-12-30T18:30:00Z"/>
      </sharedItems>
    </cacheField>
    <cacheField name="Ponto do Acidente" numFmtId="0">
      <sharedItems containsBlank="1">
        <s v="Ponte Nova"/>
        <m/>
        <s v="Santa Isabel"/>
        <s v="Santa Rosa"/>
        <s v="Viaduto da Rodoviaria"/>
        <s v="Rotatoria com a rua Prof. João Felix"/>
      </sharedItems>
    </cacheField>
    <cacheField name="Destino" numFmtId="0">
      <sharedItems>
        <s v="HMC"/>
        <s v="PSC"/>
      </sharedItems>
    </cacheField>
    <cacheField name="Tempo Total (min)" numFmtId="0">
      <sharedItems containsSemiMixedTypes="0" containsString="0" containsNumber="1" containsInteger="1">
        <n v="39.0"/>
        <n v="43.0"/>
        <n v="27.0"/>
        <n v="36.0"/>
        <n v="42.0"/>
        <n v="48.0"/>
        <n v="44.0"/>
        <n v="32.0"/>
        <n v="38.0"/>
        <n v="25.0"/>
        <n v="41.0"/>
        <n v="26.0"/>
        <n v="40.0"/>
        <n v="30.0"/>
        <n v="46.0"/>
        <n v="28.0"/>
        <n v="23.0"/>
        <n v="24.0"/>
        <n v="37.0"/>
        <n v="34.0"/>
        <n v="35.0"/>
        <n v="29.0"/>
        <n v="21.0"/>
        <n v="31.0"/>
        <n v="33.0"/>
        <n v="45.0"/>
      </sharedItems>
    </cacheField>
    <cacheField name="Nível de Trânsito" numFmtId="0">
      <sharedItems>
        <s v="Moderado"/>
        <s v="Intenso"/>
        <s v="Lev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" cacheId="0" dataCaption="" compact="0" compactData="0">
  <location ref="A1:C5" firstHeaderRow="0" firstDataRow="2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rário" axis="axisRow" compact="0" numFmtId="165" outline="0" multipleItemSelectionAllowed="1" showAll="0" sortType="ascending">
      <items>
        <item x="0"/>
        <item x="1"/>
        <item x="2"/>
        <item t="default"/>
      </items>
    </pivotField>
    <pivotField name="Ponto do Acide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stino" compact="0" outline="0" multipleItemSelectionAllowed="1" showAll="0">
      <items>
        <item x="0"/>
        <item x="1"/>
        <item t="default"/>
      </items>
    </pivotField>
    <pivotField name="Tempo Total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ível de Trânsito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AVERAGE of Tempo Total (min)" fld="4" subtotal="average" baseField="0"/>
    <dataField name="MAX of Tempo Total (min)" fld="4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6.38"/>
    <col customWidth="1" min="5" max="5" width="15.63"/>
    <col customWidth="1" min="6" max="7" width="14.88"/>
    <col customWidth="1" min="8" max="8" width="18.13"/>
    <col customWidth="1" min="9" max="9" width="15.25"/>
    <col customWidth="1" min="10" max="11" width="14.63"/>
    <col customWidth="1" min="12" max="12" width="18.0"/>
    <col customWidth="1" min="13" max="13" width="23.0"/>
    <col customWidth="1" min="14" max="14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10</v>
      </c>
      <c r="O2" s="4" t="s">
        <v>14</v>
      </c>
    </row>
    <row r="3">
      <c r="A3" s="5">
        <v>1.0</v>
      </c>
      <c r="B3" s="6" t="s">
        <v>15</v>
      </c>
      <c r="C3" s="7" t="s">
        <v>16</v>
      </c>
      <c r="D3" s="8">
        <v>46122.0</v>
      </c>
      <c r="E3" s="9">
        <v>0.3125</v>
      </c>
      <c r="F3" s="10">
        <v>7.0</v>
      </c>
      <c r="G3" s="11">
        <v>10.0</v>
      </c>
      <c r="H3" s="10">
        <v>22.0</v>
      </c>
      <c r="I3" s="10">
        <f t="shared" ref="I3:I12" si="1">F3+G3+H3</f>
        <v>39</v>
      </c>
      <c r="J3" s="7" t="s">
        <v>17</v>
      </c>
      <c r="K3" s="7" t="s">
        <v>18</v>
      </c>
      <c r="L3" s="7" t="s">
        <v>19</v>
      </c>
      <c r="M3" s="7"/>
      <c r="N3" s="7"/>
      <c r="O3" s="7"/>
    </row>
    <row r="4">
      <c r="A4" s="12"/>
      <c r="B4" s="12"/>
      <c r="C4" s="7" t="s">
        <v>20</v>
      </c>
      <c r="D4" s="8">
        <v>46122.0</v>
      </c>
      <c r="E4" s="9">
        <v>0.3125</v>
      </c>
      <c r="F4" s="10">
        <v>7.0</v>
      </c>
      <c r="G4" s="11">
        <v>10.0</v>
      </c>
      <c r="H4" s="10">
        <v>26.0</v>
      </c>
      <c r="I4" s="10">
        <f t="shared" si="1"/>
        <v>43</v>
      </c>
      <c r="J4" s="7" t="s">
        <v>21</v>
      </c>
      <c r="K4" s="13" t="s">
        <v>22</v>
      </c>
      <c r="L4" s="7" t="s">
        <v>23</v>
      </c>
      <c r="M4" s="14" t="s">
        <v>24</v>
      </c>
      <c r="N4" s="7" t="s">
        <v>17</v>
      </c>
      <c r="O4" s="10">
        <v>2.0</v>
      </c>
    </row>
    <row r="5">
      <c r="A5" s="5">
        <v>2.0</v>
      </c>
      <c r="B5" s="6" t="s">
        <v>25</v>
      </c>
      <c r="C5" s="7" t="s">
        <v>16</v>
      </c>
      <c r="D5" s="8">
        <v>46122.0</v>
      </c>
      <c r="E5" s="9">
        <v>0.3125</v>
      </c>
      <c r="F5" s="10">
        <v>1.0</v>
      </c>
      <c r="G5" s="11">
        <v>10.0</v>
      </c>
      <c r="H5" s="10">
        <v>16.0</v>
      </c>
      <c r="I5" s="10">
        <f t="shared" si="1"/>
        <v>27</v>
      </c>
      <c r="J5" s="7" t="s">
        <v>17</v>
      </c>
      <c r="K5" s="7" t="s">
        <v>18</v>
      </c>
      <c r="L5" s="7" t="s">
        <v>19</v>
      </c>
      <c r="M5" s="7"/>
      <c r="N5" s="7"/>
      <c r="O5" s="7"/>
    </row>
    <row r="6">
      <c r="A6" s="12"/>
      <c r="B6" s="12"/>
      <c r="C6" s="7" t="s">
        <v>20</v>
      </c>
      <c r="D6" s="8">
        <v>46122.0</v>
      </c>
      <c r="E6" s="9">
        <v>0.3125</v>
      </c>
      <c r="F6" s="10">
        <v>1.0</v>
      </c>
      <c r="G6" s="11">
        <v>10.0</v>
      </c>
      <c r="H6" s="10">
        <v>28.0</v>
      </c>
      <c r="I6" s="10">
        <f t="shared" si="1"/>
        <v>39</v>
      </c>
      <c r="J6" s="7" t="s">
        <v>21</v>
      </c>
      <c r="K6" s="7" t="s">
        <v>18</v>
      </c>
      <c r="L6" s="7" t="s">
        <v>23</v>
      </c>
      <c r="M6" s="14" t="s">
        <v>26</v>
      </c>
      <c r="N6" s="7" t="s">
        <v>17</v>
      </c>
      <c r="O6" s="10">
        <v>2.0</v>
      </c>
    </row>
    <row r="7">
      <c r="A7" s="5">
        <v>3.0</v>
      </c>
      <c r="B7" s="6" t="s">
        <v>27</v>
      </c>
      <c r="C7" s="7" t="s">
        <v>16</v>
      </c>
      <c r="D7" s="8">
        <v>46122.0</v>
      </c>
      <c r="E7" s="9">
        <v>0.3125</v>
      </c>
      <c r="F7" s="10">
        <v>9.0</v>
      </c>
      <c r="G7" s="11">
        <v>10.0</v>
      </c>
      <c r="H7" s="10">
        <v>8.0</v>
      </c>
      <c r="I7" s="10">
        <f t="shared" si="1"/>
        <v>27</v>
      </c>
      <c r="J7" s="7" t="s">
        <v>28</v>
      </c>
      <c r="K7" s="13" t="s">
        <v>29</v>
      </c>
      <c r="L7" s="7" t="s">
        <v>19</v>
      </c>
      <c r="M7" s="7"/>
      <c r="N7" s="7"/>
      <c r="O7" s="7"/>
    </row>
    <row r="8">
      <c r="A8" s="12"/>
      <c r="B8" s="12"/>
      <c r="C8" s="7" t="s">
        <v>20</v>
      </c>
      <c r="D8" s="8">
        <v>46122.0</v>
      </c>
      <c r="E8" s="9">
        <v>0.3125</v>
      </c>
      <c r="F8" s="10">
        <v>9.0</v>
      </c>
      <c r="G8" s="11">
        <v>10.0</v>
      </c>
      <c r="H8" s="10">
        <v>20.0</v>
      </c>
      <c r="I8" s="10">
        <f t="shared" si="1"/>
        <v>39</v>
      </c>
      <c r="J8" s="7" t="s">
        <v>21</v>
      </c>
      <c r="K8" s="7" t="s">
        <v>30</v>
      </c>
      <c r="L8" s="7" t="s">
        <v>19</v>
      </c>
      <c r="M8" s="7"/>
      <c r="N8" s="7"/>
      <c r="O8" s="7"/>
    </row>
    <row r="9">
      <c r="A9" s="5">
        <v>4.0</v>
      </c>
      <c r="B9" s="6" t="s">
        <v>31</v>
      </c>
      <c r="C9" s="7" t="s">
        <v>16</v>
      </c>
      <c r="D9" s="8">
        <v>46122.0</v>
      </c>
      <c r="E9" s="9">
        <v>0.3125</v>
      </c>
      <c r="F9" s="10">
        <v>14.0</v>
      </c>
      <c r="G9" s="11">
        <v>10.0</v>
      </c>
      <c r="H9" s="10">
        <v>12.0</v>
      </c>
      <c r="I9" s="10">
        <f t="shared" si="1"/>
        <v>36</v>
      </c>
      <c r="J9" s="7" t="s">
        <v>28</v>
      </c>
      <c r="K9" s="13" t="s">
        <v>18</v>
      </c>
      <c r="L9" s="7" t="s">
        <v>19</v>
      </c>
      <c r="M9" s="7"/>
      <c r="N9" s="7"/>
      <c r="O9" s="7"/>
    </row>
    <row r="10">
      <c r="A10" s="12"/>
      <c r="B10" s="12"/>
      <c r="C10" s="7" t="s">
        <v>20</v>
      </c>
      <c r="D10" s="8">
        <v>46122.0</v>
      </c>
      <c r="E10" s="9">
        <v>0.3125</v>
      </c>
      <c r="F10" s="10">
        <v>14.0</v>
      </c>
      <c r="G10" s="11">
        <v>10.0</v>
      </c>
      <c r="H10" s="10">
        <v>18.0</v>
      </c>
      <c r="I10" s="10">
        <f t="shared" si="1"/>
        <v>42</v>
      </c>
      <c r="J10" s="7" t="s">
        <v>21</v>
      </c>
      <c r="K10" s="7" t="s">
        <v>18</v>
      </c>
      <c r="L10" s="7" t="s">
        <v>23</v>
      </c>
      <c r="M10" s="10" t="s">
        <v>32</v>
      </c>
      <c r="N10" s="7" t="s">
        <v>21</v>
      </c>
      <c r="O10" s="10">
        <v>2.0</v>
      </c>
    </row>
    <row r="11">
      <c r="A11" s="5">
        <v>5.0</v>
      </c>
      <c r="B11" s="15" t="s">
        <v>33</v>
      </c>
      <c r="C11" s="7" t="s">
        <v>16</v>
      </c>
      <c r="D11" s="8">
        <v>46122.0</v>
      </c>
      <c r="E11" s="9">
        <v>0.3125</v>
      </c>
      <c r="F11" s="10">
        <v>22.0</v>
      </c>
      <c r="G11" s="11">
        <v>10.0</v>
      </c>
      <c r="H11" s="10">
        <v>16.0</v>
      </c>
      <c r="I11" s="10">
        <f t="shared" si="1"/>
        <v>48</v>
      </c>
      <c r="J11" s="7" t="s">
        <v>21</v>
      </c>
      <c r="K11" s="7" t="s">
        <v>18</v>
      </c>
      <c r="L11" s="7" t="s">
        <v>19</v>
      </c>
      <c r="M11" s="7"/>
      <c r="N11" s="7"/>
      <c r="O11" s="7"/>
    </row>
    <row r="12">
      <c r="A12" s="12"/>
      <c r="B12" s="12"/>
      <c r="C12" s="7" t="s">
        <v>20</v>
      </c>
      <c r="D12" s="8">
        <v>46122.0</v>
      </c>
      <c r="E12" s="9">
        <v>0.3125</v>
      </c>
      <c r="F12" s="10">
        <v>22.0</v>
      </c>
      <c r="G12" s="11">
        <v>10.0</v>
      </c>
      <c r="H12" s="10">
        <v>12.0</v>
      </c>
      <c r="I12" s="10">
        <f t="shared" si="1"/>
        <v>44</v>
      </c>
      <c r="J12" s="7" t="s">
        <v>17</v>
      </c>
      <c r="K12" s="16" t="s">
        <v>18</v>
      </c>
      <c r="L12" s="7" t="s">
        <v>23</v>
      </c>
      <c r="M12" s="14" t="s">
        <v>34</v>
      </c>
      <c r="N12" s="7" t="s">
        <v>17</v>
      </c>
      <c r="O12" s="10">
        <v>2.0</v>
      </c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35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10</v>
      </c>
      <c r="O14" s="4" t="s">
        <v>14</v>
      </c>
    </row>
    <row r="15">
      <c r="A15" s="5">
        <v>6.0</v>
      </c>
      <c r="B15" s="6" t="s">
        <v>15</v>
      </c>
      <c r="C15" s="7" t="s">
        <v>16</v>
      </c>
      <c r="D15" s="8">
        <v>46122.0</v>
      </c>
      <c r="E15" s="9">
        <v>0.5208333333333334</v>
      </c>
      <c r="F15" s="10">
        <v>4.0</v>
      </c>
      <c r="G15" s="10">
        <v>10.0</v>
      </c>
      <c r="H15" s="10">
        <v>18.0</v>
      </c>
      <c r="I15" s="10">
        <f t="shared" ref="I15:I24" si="2">F15+G15+H15</f>
        <v>32</v>
      </c>
      <c r="J15" s="7" t="s">
        <v>28</v>
      </c>
      <c r="K15" s="7" t="s">
        <v>18</v>
      </c>
      <c r="L15" s="7" t="s">
        <v>19</v>
      </c>
      <c r="M15" s="7"/>
      <c r="N15" s="7"/>
      <c r="O15" s="7"/>
    </row>
    <row r="16">
      <c r="A16" s="12"/>
      <c r="B16" s="12"/>
      <c r="C16" s="7" t="s">
        <v>20</v>
      </c>
      <c r="D16" s="8">
        <v>46122.0</v>
      </c>
      <c r="E16" s="9">
        <v>0.5208333333333334</v>
      </c>
      <c r="F16" s="10">
        <v>4.0</v>
      </c>
      <c r="G16" s="10">
        <v>10.0</v>
      </c>
      <c r="H16" s="10">
        <v>24.0</v>
      </c>
      <c r="I16" s="10">
        <f t="shared" si="2"/>
        <v>38</v>
      </c>
      <c r="J16" s="7" t="s">
        <v>17</v>
      </c>
      <c r="K16" s="13" t="s">
        <v>22</v>
      </c>
      <c r="L16" s="7" t="s">
        <v>23</v>
      </c>
      <c r="M16" s="18" t="s">
        <v>24</v>
      </c>
      <c r="N16" s="7" t="s">
        <v>17</v>
      </c>
      <c r="O16" s="10">
        <v>4.0</v>
      </c>
    </row>
    <row r="17">
      <c r="A17" s="5">
        <v>7.0</v>
      </c>
      <c r="B17" s="6" t="s">
        <v>25</v>
      </c>
      <c r="C17" s="7" t="s">
        <v>16</v>
      </c>
      <c r="D17" s="8">
        <v>46122.0</v>
      </c>
      <c r="E17" s="9">
        <v>0.5208333333333334</v>
      </c>
      <c r="F17" s="10">
        <v>1.0</v>
      </c>
      <c r="G17" s="10">
        <v>10.0</v>
      </c>
      <c r="H17" s="10">
        <v>14.0</v>
      </c>
      <c r="I17" s="10">
        <f t="shared" si="2"/>
        <v>25</v>
      </c>
      <c r="J17" s="7" t="s">
        <v>17</v>
      </c>
      <c r="K17" s="7" t="s">
        <v>18</v>
      </c>
      <c r="L17" s="7" t="s">
        <v>19</v>
      </c>
      <c r="M17" s="7"/>
      <c r="N17" s="7"/>
      <c r="O17" s="7"/>
    </row>
    <row r="18">
      <c r="A18" s="12"/>
      <c r="B18" s="12"/>
      <c r="C18" s="7" t="s">
        <v>20</v>
      </c>
      <c r="D18" s="8">
        <v>46122.0</v>
      </c>
      <c r="E18" s="9">
        <v>0.5208333333333334</v>
      </c>
      <c r="F18" s="10">
        <v>1.0</v>
      </c>
      <c r="G18" s="10">
        <v>10.0</v>
      </c>
      <c r="H18" s="10">
        <v>30.0</v>
      </c>
      <c r="I18" s="10">
        <f t="shared" si="2"/>
        <v>41</v>
      </c>
      <c r="J18" s="7" t="s">
        <v>21</v>
      </c>
      <c r="K18" s="7" t="s">
        <v>18</v>
      </c>
      <c r="L18" s="7" t="s">
        <v>23</v>
      </c>
      <c r="M18" s="14" t="s">
        <v>26</v>
      </c>
      <c r="N18" s="7" t="s">
        <v>17</v>
      </c>
      <c r="O18" s="10">
        <v>6.0</v>
      </c>
    </row>
    <row r="19">
      <c r="A19" s="5">
        <v>8.0</v>
      </c>
      <c r="B19" s="6" t="s">
        <v>27</v>
      </c>
      <c r="C19" s="7" t="s">
        <v>16</v>
      </c>
      <c r="D19" s="8">
        <v>46122.0</v>
      </c>
      <c r="E19" s="9">
        <v>0.5208333333333334</v>
      </c>
      <c r="F19" s="10">
        <v>8.0</v>
      </c>
      <c r="G19" s="10">
        <v>10.0</v>
      </c>
      <c r="H19" s="10">
        <v>8.0</v>
      </c>
      <c r="I19" s="10">
        <f t="shared" si="2"/>
        <v>26</v>
      </c>
      <c r="J19" s="7" t="s">
        <v>28</v>
      </c>
      <c r="K19" s="13" t="s">
        <v>29</v>
      </c>
      <c r="L19" s="7" t="s">
        <v>19</v>
      </c>
      <c r="M19" s="7"/>
      <c r="N19" s="7"/>
      <c r="O19" s="7"/>
    </row>
    <row r="20">
      <c r="A20" s="12"/>
      <c r="B20" s="12"/>
      <c r="C20" s="7" t="s">
        <v>20</v>
      </c>
      <c r="D20" s="8">
        <v>46122.0</v>
      </c>
      <c r="E20" s="9">
        <v>0.5208333333333334</v>
      </c>
      <c r="F20" s="10">
        <v>8.0</v>
      </c>
      <c r="G20" s="10">
        <v>10.0</v>
      </c>
      <c r="H20" s="10">
        <v>22.0</v>
      </c>
      <c r="I20" s="10">
        <f t="shared" si="2"/>
        <v>40</v>
      </c>
      <c r="J20" s="7" t="s">
        <v>21</v>
      </c>
      <c r="K20" s="7" t="s">
        <v>36</v>
      </c>
      <c r="L20" s="7" t="s">
        <v>19</v>
      </c>
      <c r="M20" s="7"/>
      <c r="N20" s="7"/>
      <c r="O20" s="7"/>
    </row>
    <row r="21">
      <c r="A21" s="5">
        <v>9.0</v>
      </c>
      <c r="B21" s="19" t="s">
        <v>31</v>
      </c>
      <c r="C21" s="7" t="s">
        <v>16</v>
      </c>
      <c r="D21" s="8">
        <v>46122.0</v>
      </c>
      <c r="E21" s="9">
        <v>0.5208333333333334</v>
      </c>
      <c r="F21" s="10">
        <v>12.0</v>
      </c>
      <c r="G21" s="10">
        <v>10.0</v>
      </c>
      <c r="H21" s="10">
        <v>10.0</v>
      </c>
      <c r="I21" s="10">
        <f t="shared" si="2"/>
        <v>32</v>
      </c>
      <c r="J21" s="7" t="s">
        <v>28</v>
      </c>
      <c r="K21" s="20" t="s">
        <v>18</v>
      </c>
      <c r="L21" s="7" t="s">
        <v>19</v>
      </c>
      <c r="M21" s="7"/>
      <c r="N21" s="7"/>
      <c r="O21" s="7"/>
    </row>
    <row r="22">
      <c r="A22" s="21"/>
      <c r="B22" s="22"/>
      <c r="C22" s="7" t="s">
        <v>20</v>
      </c>
      <c r="D22" s="8">
        <v>46122.0</v>
      </c>
      <c r="E22" s="9">
        <v>0.5208333333333334</v>
      </c>
      <c r="F22" s="10">
        <v>12.0</v>
      </c>
      <c r="G22" s="10">
        <v>10.0</v>
      </c>
      <c r="H22" s="10">
        <v>16.0</v>
      </c>
      <c r="I22" s="10">
        <f t="shared" si="2"/>
        <v>38</v>
      </c>
      <c r="J22" s="7" t="s">
        <v>21</v>
      </c>
      <c r="K22" s="7" t="s">
        <v>18</v>
      </c>
      <c r="L22" s="7" t="s">
        <v>19</v>
      </c>
      <c r="M22" s="7"/>
      <c r="N22" s="7"/>
      <c r="O22" s="7"/>
    </row>
    <row r="23">
      <c r="A23" s="23">
        <v>10.0</v>
      </c>
      <c r="B23" s="15" t="s">
        <v>33</v>
      </c>
      <c r="C23" s="7" t="s">
        <v>16</v>
      </c>
      <c r="D23" s="8">
        <v>46122.0</v>
      </c>
      <c r="E23" s="9">
        <v>0.5208333333333334</v>
      </c>
      <c r="F23" s="10">
        <v>18.0</v>
      </c>
      <c r="G23" s="10">
        <v>10.0</v>
      </c>
      <c r="H23" s="10">
        <v>14.0</v>
      </c>
      <c r="I23" s="10">
        <f t="shared" si="2"/>
        <v>42</v>
      </c>
      <c r="J23" s="7" t="s">
        <v>17</v>
      </c>
      <c r="K23" s="7" t="s">
        <v>18</v>
      </c>
      <c r="L23" s="7" t="s">
        <v>19</v>
      </c>
      <c r="M23" s="7"/>
      <c r="N23" s="7"/>
      <c r="O23" s="7"/>
    </row>
    <row r="24">
      <c r="A24" s="12"/>
      <c r="B24" s="12"/>
      <c r="C24" s="7" t="s">
        <v>20</v>
      </c>
      <c r="D24" s="8">
        <v>46122.0</v>
      </c>
      <c r="E24" s="9">
        <v>0.5208333333333334</v>
      </c>
      <c r="F24" s="10">
        <v>18.0</v>
      </c>
      <c r="G24" s="10">
        <v>10.0</v>
      </c>
      <c r="H24" s="10">
        <v>10.0</v>
      </c>
      <c r="I24" s="10">
        <f t="shared" si="2"/>
        <v>38</v>
      </c>
      <c r="J24" s="7" t="s">
        <v>17</v>
      </c>
      <c r="K24" s="16" t="s">
        <v>18</v>
      </c>
      <c r="L24" s="7" t="s">
        <v>23</v>
      </c>
      <c r="M24" s="7"/>
      <c r="N24" s="7"/>
      <c r="O24" s="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35</v>
      </c>
      <c r="J26" s="4" t="s">
        <v>10</v>
      </c>
      <c r="K26" s="4" t="s">
        <v>11</v>
      </c>
      <c r="L26" s="4" t="s">
        <v>12</v>
      </c>
      <c r="M26" s="4" t="s">
        <v>13</v>
      </c>
      <c r="N26" s="4" t="s">
        <v>10</v>
      </c>
      <c r="O26" s="4" t="s">
        <v>14</v>
      </c>
    </row>
    <row r="27">
      <c r="A27" s="5">
        <v>11.0</v>
      </c>
      <c r="B27" s="6" t="s">
        <v>15</v>
      </c>
      <c r="C27" s="7" t="s">
        <v>16</v>
      </c>
      <c r="D27" s="8">
        <v>46122.0</v>
      </c>
      <c r="E27" s="9">
        <v>0.7708333333333334</v>
      </c>
      <c r="F27" s="10">
        <v>8.0</v>
      </c>
      <c r="G27" s="10">
        <v>10.0</v>
      </c>
      <c r="H27" s="10">
        <v>18.0</v>
      </c>
      <c r="I27" s="10">
        <f t="shared" ref="I27:I36" si="3">F27+G27+H27</f>
        <v>36</v>
      </c>
      <c r="J27" s="7" t="s">
        <v>17</v>
      </c>
      <c r="K27" s="7" t="s">
        <v>18</v>
      </c>
      <c r="L27" s="7" t="s">
        <v>19</v>
      </c>
      <c r="M27" s="7"/>
      <c r="N27" s="7"/>
      <c r="O27" s="7"/>
    </row>
    <row r="28">
      <c r="A28" s="12"/>
      <c r="B28" s="12"/>
      <c r="C28" s="7" t="s">
        <v>37</v>
      </c>
      <c r="D28" s="8">
        <v>46122.0</v>
      </c>
      <c r="E28" s="9">
        <v>0.7708333333333334</v>
      </c>
      <c r="F28" s="10">
        <v>8.0</v>
      </c>
      <c r="G28" s="10">
        <v>10.0</v>
      </c>
      <c r="H28" s="10">
        <v>22.0</v>
      </c>
      <c r="I28" s="10">
        <f t="shared" si="3"/>
        <v>40</v>
      </c>
      <c r="J28" s="7" t="s">
        <v>17</v>
      </c>
      <c r="K28" s="13" t="s">
        <v>22</v>
      </c>
      <c r="L28" s="7" t="s">
        <v>23</v>
      </c>
      <c r="M28" s="14" t="s">
        <v>38</v>
      </c>
      <c r="N28" s="7" t="s">
        <v>17</v>
      </c>
      <c r="O28" s="10">
        <v>2.0</v>
      </c>
    </row>
    <row r="29">
      <c r="A29" s="5">
        <v>12.0</v>
      </c>
      <c r="B29" s="6" t="s">
        <v>25</v>
      </c>
      <c r="C29" s="7" t="s">
        <v>16</v>
      </c>
      <c r="D29" s="8">
        <v>46122.0</v>
      </c>
      <c r="E29" s="9">
        <v>0.7708333333333334</v>
      </c>
      <c r="F29" s="10">
        <v>1.0</v>
      </c>
      <c r="G29" s="10">
        <v>10.0</v>
      </c>
      <c r="H29" s="10">
        <v>14.0</v>
      </c>
      <c r="I29" s="10">
        <f t="shared" si="3"/>
        <v>25</v>
      </c>
      <c r="J29" s="7" t="s">
        <v>17</v>
      </c>
      <c r="K29" s="7" t="s">
        <v>18</v>
      </c>
      <c r="L29" s="7" t="s">
        <v>19</v>
      </c>
      <c r="M29" s="7"/>
      <c r="N29" s="7"/>
      <c r="O29" s="7"/>
    </row>
    <row r="30">
      <c r="A30" s="12"/>
      <c r="B30" s="12"/>
      <c r="C30" s="7" t="s">
        <v>37</v>
      </c>
      <c r="D30" s="8">
        <v>46122.0</v>
      </c>
      <c r="E30" s="9">
        <v>0.7708333333333334</v>
      </c>
      <c r="F30" s="10">
        <v>1.0</v>
      </c>
      <c r="G30" s="10">
        <v>10.0</v>
      </c>
      <c r="H30" s="10">
        <v>30.0</v>
      </c>
      <c r="I30" s="10">
        <f t="shared" si="3"/>
        <v>41</v>
      </c>
      <c r="J30" s="7" t="s">
        <v>21</v>
      </c>
      <c r="K30" s="7" t="s">
        <v>18</v>
      </c>
      <c r="L30" s="7" t="s">
        <v>23</v>
      </c>
      <c r="M30" s="14" t="s">
        <v>39</v>
      </c>
      <c r="N30" s="7" t="s">
        <v>17</v>
      </c>
      <c r="O30" s="10">
        <v>6.0</v>
      </c>
    </row>
    <row r="31">
      <c r="A31" s="5">
        <v>13.0</v>
      </c>
      <c r="B31" s="6" t="s">
        <v>27</v>
      </c>
      <c r="C31" s="7" t="s">
        <v>16</v>
      </c>
      <c r="D31" s="8">
        <v>46122.0</v>
      </c>
      <c r="E31" s="9">
        <v>0.7708333333333334</v>
      </c>
      <c r="F31" s="10">
        <v>12.0</v>
      </c>
      <c r="G31" s="10">
        <v>10.0</v>
      </c>
      <c r="H31" s="10">
        <v>8.0</v>
      </c>
      <c r="I31" s="10">
        <f t="shared" si="3"/>
        <v>30</v>
      </c>
      <c r="J31" s="7" t="s">
        <v>28</v>
      </c>
      <c r="K31" s="13" t="s">
        <v>29</v>
      </c>
      <c r="L31" s="7" t="s">
        <v>19</v>
      </c>
      <c r="M31" s="7"/>
      <c r="N31" s="7"/>
      <c r="O31" s="7"/>
    </row>
    <row r="32">
      <c r="A32" s="12"/>
      <c r="B32" s="12"/>
      <c r="C32" s="7" t="s">
        <v>20</v>
      </c>
      <c r="D32" s="8">
        <v>46122.0</v>
      </c>
      <c r="E32" s="9">
        <v>0.7708333333333334</v>
      </c>
      <c r="F32" s="10">
        <v>12.0</v>
      </c>
      <c r="G32" s="10">
        <v>10.0</v>
      </c>
      <c r="H32" s="10">
        <v>20.0</v>
      </c>
      <c r="I32" s="10">
        <f t="shared" si="3"/>
        <v>42</v>
      </c>
      <c r="J32" s="7" t="s">
        <v>21</v>
      </c>
      <c r="K32" s="7" t="s">
        <v>36</v>
      </c>
      <c r="L32" s="7" t="s">
        <v>19</v>
      </c>
      <c r="M32" s="7"/>
      <c r="N32" s="7"/>
      <c r="O32" s="7"/>
    </row>
    <row r="33">
      <c r="A33" s="5">
        <v>14.0</v>
      </c>
      <c r="B33" s="6" t="s">
        <v>31</v>
      </c>
      <c r="C33" s="7" t="s">
        <v>16</v>
      </c>
      <c r="D33" s="8">
        <v>46122.0</v>
      </c>
      <c r="E33" s="9">
        <v>0.7708333333333334</v>
      </c>
      <c r="F33" s="10">
        <v>14.0</v>
      </c>
      <c r="G33" s="10">
        <v>10.0</v>
      </c>
      <c r="H33" s="10">
        <v>12.0</v>
      </c>
      <c r="I33" s="10">
        <f t="shared" si="3"/>
        <v>36</v>
      </c>
      <c r="J33" s="7" t="s">
        <v>17</v>
      </c>
      <c r="K33" s="20" t="s">
        <v>18</v>
      </c>
      <c r="L33" s="7" t="s">
        <v>19</v>
      </c>
      <c r="M33" s="7"/>
      <c r="N33" s="7"/>
      <c r="O33" s="7"/>
    </row>
    <row r="34">
      <c r="A34" s="12"/>
      <c r="B34" s="12"/>
      <c r="C34" s="7" t="s">
        <v>20</v>
      </c>
      <c r="D34" s="8">
        <v>46122.0</v>
      </c>
      <c r="E34" s="9">
        <v>0.7708333333333334</v>
      </c>
      <c r="F34" s="10">
        <v>14.0</v>
      </c>
      <c r="G34" s="10">
        <v>10.0</v>
      </c>
      <c r="H34" s="10">
        <v>14.0</v>
      </c>
      <c r="I34" s="10">
        <f t="shared" si="3"/>
        <v>38</v>
      </c>
      <c r="J34" s="7" t="s">
        <v>21</v>
      </c>
      <c r="K34" s="7" t="s">
        <v>18</v>
      </c>
      <c r="L34" s="7" t="s">
        <v>19</v>
      </c>
      <c r="M34" s="7"/>
      <c r="N34" s="7"/>
      <c r="O34" s="7"/>
    </row>
    <row r="35">
      <c r="A35" s="5">
        <v>15.0</v>
      </c>
      <c r="B35" s="15" t="s">
        <v>33</v>
      </c>
      <c r="C35" s="7" t="s">
        <v>16</v>
      </c>
      <c r="D35" s="8">
        <v>46122.0</v>
      </c>
      <c r="E35" s="9">
        <v>0.7708333333333334</v>
      </c>
      <c r="F35" s="10">
        <v>20.0</v>
      </c>
      <c r="G35" s="10">
        <v>10.0</v>
      </c>
      <c r="H35" s="10">
        <v>16.0</v>
      </c>
      <c r="I35" s="10">
        <f t="shared" si="3"/>
        <v>46</v>
      </c>
      <c r="J35" s="7" t="s">
        <v>21</v>
      </c>
      <c r="K35" s="7" t="s">
        <v>18</v>
      </c>
      <c r="L35" s="7" t="s">
        <v>19</v>
      </c>
      <c r="M35" s="7"/>
      <c r="N35" s="7"/>
      <c r="O35" s="7"/>
    </row>
    <row r="36">
      <c r="A36" s="12"/>
      <c r="B36" s="12"/>
      <c r="C36" s="7" t="s">
        <v>20</v>
      </c>
      <c r="D36" s="8">
        <v>46122.0</v>
      </c>
      <c r="E36" s="9">
        <v>0.7708333333333334</v>
      </c>
      <c r="F36" s="10">
        <v>20.0</v>
      </c>
      <c r="G36" s="10">
        <v>10.0</v>
      </c>
      <c r="H36" s="10">
        <v>9.0</v>
      </c>
      <c r="I36" s="10">
        <f t="shared" si="3"/>
        <v>39</v>
      </c>
      <c r="J36" s="7" t="s">
        <v>28</v>
      </c>
      <c r="K36" s="16" t="s">
        <v>18</v>
      </c>
      <c r="L36" s="7" t="s">
        <v>19</v>
      </c>
      <c r="M36" s="7"/>
      <c r="N36" s="7"/>
      <c r="O36" s="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>
      <c r="A39" s="24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</row>
    <row r="40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25" t="s">
        <v>9</v>
      </c>
      <c r="J40" s="4" t="s">
        <v>10</v>
      </c>
      <c r="K40" s="4" t="s">
        <v>11</v>
      </c>
      <c r="L40" s="4" t="s">
        <v>12</v>
      </c>
      <c r="M40" s="4" t="s">
        <v>13</v>
      </c>
      <c r="N40" s="4" t="s">
        <v>10</v>
      </c>
      <c r="O40" s="4" t="s">
        <v>14</v>
      </c>
    </row>
    <row r="41">
      <c r="A41" s="5">
        <v>16.0</v>
      </c>
      <c r="B41" s="6" t="s">
        <v>15</v>
      </c>
      <c r="C41" s="7" t="s">
        <v>16</v>
      </c>
      <c r="D41" s="8">
        <v>46121.0</v>
      </c>
      <c r="E41" s="9">
        <v>0.3125</v>
      </c>
      <c r="F41" s="10">
        <v>6.0</v>
      </c>
      <c r="G41" s="11">
        <v>10.0</v>
      </c>
      <c r="H41" s="10">
        <v>20.0</v>
      </c>
      <c r="I41" s="10">
        <f t="shared" ref="I41:I50" si="4">F41+G41+H41</f>
        <v>36</v>
      </c>
      <c r="J41" s="7" t="s">
        <v>17</v>
      </c>
      <c r="K41" s="7" t="s">
        <v>18</v>
      </c>
      <c r="L41" s="7" t="s">
        <v>19</v>
      </c>
      <c r="M41" s="7"/>
      <c r="N41" s="7"/>
      <c r="O41" s="7"/>
    </row>
    <row r="42">
      <c r="A42" s="12"/>
      <c r="B42" s="12"/>
      <c r="C42" s="7" t="s">
        <v>20</v>
      </c>
      <c r="D42" s="8">
        <v>46121.0</v>
      </c>
      <c r="E42" s="9">
        <v>0.3125</v>
      </c>
      <c r="F42" s="10">
        <v>6.0</v>
      </c>
      <c r="G42" s="11">
        <v>10.0</v>
      </c>
      <c r="H42" s="10">
        <v>26.0</v>
      </c>
      <c r="I42" s="10">
        <f t="shared" si="4"/>
        <v>42</v>
      </c>
      <c r="J42" s="7" t="s">
        <v>21</v>
      </c>
      <c r="K42" s="13" t="s">
        <v>41</v>
      </c>
      <c r="L42" s="7" t="s">
        <v>23</v>
      </c>
      <c r="M42" s="26" t="s">
        <v>24</v>
      </c>
      <c r="N42" s="7" t="s">
        <v>17</v>
      </c>
      <c r="O42" s="10">
        <v>2.0</v>
      </c>
    </row>
    <row r="43">
      <c r="A43" s="5">
        <v>17.0</v>
      </c>
      <c r="B43" s="6" t="s">
        <v>25</v>
      </c>
      <c r="C43" s="7" t="s">
        <v>16</v>
      </c>
      <c r="D43" s="8">
        <v>46121.0</v>
      </c>
      <c r="E43" s="9">
        <v>0.3125</v>
      </c>
      <c r="F43" s="10">
        <v>1.0</v>
      </c>
      <c r="G43" s="11">
        <v>10.0</v>
      </c>
      <c r="H43" s="10">
        <v>16.0</v>
      </c>
      <c r="I43" s="10">
        <f t="shared" si="4"/>
        <v>27</v>
      </c>
      <c r="J43" s="7" t="s">
        <v>17</v>
      </c>
      <c r="K43" s="7" t="s">
        <v>18</v>
      </c>
      <c r="L43" s="7" t="s">
        <v>19</v>
      </c>
      <c r="M43" s="7"/>
      <c r="N43" s="7"/>
      <c r="O43" s="7"/>
    </row>
    <row r="44">
      <c r="A44" s="12"/>
      <c r="B44" s="12"/>
      <c r="C44" s="7" t="s">
        <v>20</v>
      </c>
      <c r="D44" s="8">
        <v>46121.0</v>
      </c>
      <c r="E44" s="9">
        <v>0.3125</v>
      </c>
      <c r="F44" s="10">
        <v>1.0</v>
      </c>
      <c r="G44" s="11">
        <v>10.0</v>
      </c>
      <c r="H44" s="10">
        <v>30.0</v>
      </c>
      <c r="I44" s="10">
        <f t="shared" si="4"/>
        <v>41</v>
      </c>
      <c r="J44" s="7" t="s">
        <v>21</v>
      </c>
      <c r="K44" s="7" t="s">
        <v>18</v>
      </c>
      <c r="L44" s="7" t="s">
        <v>23</v>
      </c>
      <c r="M44" s="14" t="s">
        <v>26</v>
      </c>
      <c r="N44" s="7" t="s">
        <v>17</v>
      </c>
      <c r="O44" s="10">
        <v>4.0</v>
      </c>
    </row>
    <row r="45">
      <c r="A45" s="5">
        <v>18.0</v>
      </c>
      <c r="B45" s="6" t="s">
        <v>27</v>
      </c>
      <c r="C45" s="7" t="s">
        <v>16</v>
      </c>
      <c r="D45" s="8">
        <v>46121.0</v>
      </c>
      <c r="E45" s="9">
        <v>0.3125</v>
      </c>
      <c r="F45" s="10">
        <v>10.0</v>
      </c>
      <c r="G45" s="11">
        <v>10.0</v>
      </c>
      <c r="H45" s="10">
        <v>8.0</v>
      </c>
      <c r="I45" s="10">
        <f t="shared" si="4"/>
        <v>28</v>
      </c>
      <c r="J45" s="7" t="s">
        <v>28</v>
      </c>
      <c r="K45" s="13" t="s">
        <v>29</v>
      </c>
      <c r="L45" s="7" t="s">
        <v>19</v>
      </c>
      <c r="M45" s="7"/>
      <c r="N45" s="7"/>
      <c r="O45" s="7"/>
    </row>
    <row r="46">
      <c r="A46" s="12"/>
      <c r="B46" s="12"/>
      <c r="C46" s="7" t="s">
        <v>20</v>
      </c>
      <c r="D46" s="8">
        <v>46121.0</v>
      </c>
      <c r="E46" s="9">
        <v>0.3125</v>
      </c>
      <c r="F46" s="10">
        <v>10.0</v>
      </c>
      <c r="G46" s="11">
        <v>10.0</v>
      </c>
      <c r="H46" s="10">
        <v>22.0</v>
      </c>
      <c r="I46" s="10">
        <f t="shared" si="4"/>
        <v>42</v>
      </c>
      <c r="J46" s="7" t="s">
        <v>21</v>
      </c>
      <c r="K46" s="7" t="s">
        <v>36</v>
      </c>
      <c r="L46" s="7" t="s">
        <v>19</v>
      </c>
      <c r="M46" s="7"/>
      <c r="N46" s="7"/>
      <c r="O46" s="7"/>
    </row>
    <row r="47">
      <c r="A47" s="5">
        <v>19.0</v>
      </c>
      <c r="B47" s="6" t="s">
        <v>31</v>
      </c>
      <c r="C47" s="7" t="s">
        <v>16</v>
      </c>
      <c r="D47" s="8">
        <v>46121.0</v>
      </c>
      <c r="E47" s="9">
        <v>0.3125</v>
      </c>
      <c r="F47" s="10">
        <v>14.0</v>
      </c>
      <c r="G47" s="11">
        <v>10.0</v>
      </c>
      <c r="H47" s="10">
        <v>12.0</v>
      </c>
      <c r="I47" s="10">
        <f t="shared" si="4"/>
        <v>36</v>
      </c>
      <c r="J47" s="7" t="s">
        <v>28</v>
      </c>
      <c r="K47" s="20" t="s">
        <v>42</v>
      </c>
      <c r="L47" s="7" t="s">
        <v>19</v>
      </c>
      <c r="M47" s="7"/>
      <c r="N47" s="7"/>
      <c r="O47" s="7"/>
    </row>
    <row r="48">
      <c r="A48" s="12"/>
      <c r="B48" s="12"/>
      <c r="C48" s="7" t="s">
        <v>20</v>
      </c>
      <c r="D48" s="8">
        <v>46121.0</v>
      </c>
      <c r="E48" s="9">
        <v>0.3125</v>
      </c>
      <c r="F48" s="10">
        <v>14.0</v>
      </c>
      <c r="G48" s="11">
        <v>10.0</v>
      </c>
      <c r="H48" s="10">
        <v>20.0</v>
      </c>
      <c r="I48" s="10">
        <f t="shared" si="4"/>
        <v>44</v>
      </c>
      <c r="J48" s="7" t="s">
        <v>21</v>
      </c>
      <c r="K48" s="7" t="s">
        <v>18</v>
      </c>
      <c r="L48" s="7" t="s">
        <v>23</v>
      </c>
      <c r="M48" s="10" t="s">
        <v>43</v>
      </c>
      <c r="N48" s="7" t="s">
        <v>21</v>
      </c>
      <c r="O48" s="10">
        <v>2.0</v>
      </c>
    </row>
    <row r="49">
      <c r="A49" s="5">
        <v>20.0</v>
      </c>
      <c r="B49" s="15" t="s">
        <v>33</v>
      </c>
      <c r="C49" s="7" t="s">
        <v>16</v>
      </c>
      <c r="D49" s="8">
        <v>46121.0</v>
      </c>
      <c r="E49" s="9">
        <v>0.3125</v>
      </c>
      <c r="F49" s="10">
        <v>22.0</v>
      </c>
      <c r="G49" s="11">
        <v>10.0</v>
      </c>
      <c r="H49" s="10">
        <v>16.0</v>
      </c>
      <c r="I49" s="10">
        <f t="shared" si="4"/>
        <v>48</v>
      </c>
      <c r="J49" s="7" t="s">
        <v>21</v>
      </c>
      <c r="K49" s="7" t="s">
        <v>18</v>
      </c>
      <c r="L49" s="7" t="s">
        <v>19</v>
      </c>
      <c r="M49" s="7"/>
      <c r="N49" s="7"/>
      <c r="O49" s="7"/>
    </row>
    <row r="50">
      <c r="A50" s="12"/>
      <c r="B50" s="12"/>
      <c r="C50" s="7" t="s">
        <v>20</v>
      </c>
      <c r="D50" s="8">
        <v>46121.0</v>
      </c>
      <c r="E50" s="9">
        <v>0.3125</v>
      </c>
      <c r="F50" s="10">
        <v>22.0</v>
      </c>
      <c r="G50" s="11">
        <v>10.0</v>
      </c>
      <c r="H50" s="7"/>
      <c r="I50" s="10">
        <f t="shared" si="4"/>
        <v>32</v>
      </c>
      <c r="J50" s="7" t="s">
        <v>21</v>
      </c>
      <c r="K50" s="16" t="s">
        <v>18</v>
      </c>
      <c r="L50" s="7" t="s">
        <v>23</v>
      </c>
      <c r="M50" s="10" t="s">
        <v>34</v>
      </c>
      <c r="N50" s="7" t="s">
        <v>17</v>
      </c>
      <c r="O50" s="10">
        <v>2.0</v>
      </c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>
      <c r="A52" s="4" t="s">
        <v>1</v>
      </c>
      <c r="B52" s="4" t="s">
        <v>2</v>
      </c>
      <c r="C52" s="4" t="s">
        <v>3</v>
      </c>
      <c r="D52" s="4" t="s">
        <v>4</v>
      </c>
      <c r="E52" s="4" t="s">
        <v>5</v>
      </c>
      <c r="F52" s="4" t="s">
        <v>6</v>
      </c>
      <c r="G52" s="4" t="s">
        <v>7</v>
      </c>
      <c r="H52" s="4" t="s">
        <v>8</v>
      </c>
      <c r="I52" s="25" t="s">
        <v>9</v>
      </c>
      <c r="J52" s="4" t="s">
        <v>10</v>
      </c>
      <c r="K52" s="4" t="s">
        <v>11</v>
      </c>
      <c r="L52" s="4" t="s">
        <v>12</v>
      </c>
      <c r="M52" s="4" t="s">
        <v>13</v>
      </c>
      <c r="N52" s="4" t="s">
        <v>10</v>
      </c>
      <c r="O52" s="4" t="s">
        <v>14</v>
      </c>
    </row>
    <row r="53">
      <c r="A53" s="5">
        <v>17.0</v>
      </c>
      <c r="B53" s="6" t="s">
        <v>15</v>
      </c>
      <c r="C53" s="7" t="s">
        <v>16</v>
      </c>
      <c r="D53" s="8">
        <v>46121.0</v>
      </c>
      <c r="E53" s="9">
        <v>0.5208333333333334</v>
      </c>
      <c r="F53" s="10">
        <v>6.0</v>
      </c>
      <c r="G53" s="11">
        <v>10.0</v>
      </c>
      <c r="H53" s="10">
        <v>16.0</v>
      </c>
      <c r="I53" s="10">
        <f t="shared" ref="I53:I62" si="5">F53+G53+H53</f>
        <v>32</v>
      </c>
      <c r="J53" s="7" t="s">
        <v>28</v>
      </c>
      <c r="K53" s="7" t="s">
        <v>18</v>
      </c>
      <c r="L53" s="7" t="s">
        <v>19</v>
      </c>
      <c r="M53" s="7"/>
      <c r="N53" s="7"/>
      <c r="O53" s="7"/>
    </row>
    <row r="54">
      <c r="A54" s="12"/>
      <c r="B54" s="12"/>
      <c r="C54" s="7" t="s">
        <v>20</v>
      </c>
      <c r="D54" s="8">
        <v>46121.0</v>
      </c>
      <c r="E54" s="9">
        <v>0.5208333333333334</v>
      </c>
      <c r="F54" s="10">
        <v>6.0</v>
      </c>
      <c r="G54" s="11">
        <v>10.0</v>
      </c>
      <c r="H54" s="10">
        <v>24.0</v>
      </c>
      <c r="I54" s="10">
        <f t="shared" si="5"/>
        <v>40</v>
      </c>
      <c r="J54" s="7" t="s">
        <v>17</v>
      </c>
      <c r="K54" s="13" t="s">
        <v>44</v>
      </c>
      <c r="L54" s="7" t="s">
        <v>23</v>
      </c>
      <c r="M54" s="14" t="s">
        <v>24</v>
      </c>
      <c r="N54" s="7" t="s">
        <v>21</v>
      </c>
      <c r="O54" s="10">
        <v>4.0</v>
      </c>
    </row>
    <row r="55">
      <c r="A55" s="5">
        <v>18.0</v>
      </c>
      <c r="B55" s="6" t="s">
        <v>25</v>
      </c>
      <c r="C55" s="7" t="s">
        <v>16</v>
      </c>
      <c r="D55" s="8">
        <v>46121.0</v>
      </c>
      <c r="E55" s="9">
        <v>0.5208333333333334</v>
      </c>
      <c r="F55" s="10">
        <v>1.0</v>
      </c>
      <c r="G55" s="11">
        <v>10.0</v>
      </c>
      <c r="H55" s="10">
        <v>12.0</v>
      </c>
      <c r="I55" s="10">
        <f t="shared" si="5"/>
        <v>23</v>
      </c>
      <c r="J55" s="7" t="s">
        <v>28</v>
      </c>
      <c r="K55" s="7" t="s">
        <v>18</v>
      </c>
      <c r="L55" s="7" t="s">
        <v>19</v>
      </c>
      <c r="M55" s="7"/>
      <c r="N55" s="7"/>
      <c r="O55" s="7"/>
    </row>
    <row r="56">
      <c r="A56" s="12"/>
      <c r="B56" s="12"/>
      <c r="C56" s="7" t="s">
        <v>20</v>
      </c>
      <c r="D56" s="8">
        <v>46121.0</v>
      </c>
      <c r="E56" s="9">
        <v>0.5208333333333334</v>
      </c>
      <c r="F56" s="10">
        <v>1.0</v>
      </c>
      <c r="G56" s="11">
        <v>10.0</v>
      </c>
      <c r="H56" s="10">
        <v>28.0</v>
      </c>
      <c r="I56" s="10">
        <f t="shared" si="5"/>
        <v>39</v>
      </c>
      <c r="J56" s="7" t="s">
        <v>21</v>
      </c>
      <c r="K56" s="7" t="s">
        <v>18</v>
      </c>
      <c r="L56" s="7" t="s">
        <v>23</v>
      </c>
      <c r="M56" s="14" t="s">
        <v>26</v>
      </c>
      <c r="N56" s="7" t="s">
        <v>17</v>
      </c>
      <c r="O56" s="10">
        <v>4.0</v>
      </c>
    </row>
    <row r="57">
      <c r="A57" s="5">
        <v>19.0</v>
      </c>
      <c r="B57" s="6" t="s">
        <v>27</v>
      </c>
      <c r="C57" s="7" t="s">
        <v>16</v>
      </c>
      <c r="D57" s="8">
        <v>46121.0</v>
      </c>
      <c r="E57" s="9">
        <v>0.5208333333333334</v>
      </c>
      <c r="F57" s="10">
        <v>7.0</v>
      </c>
      <c r="G57" s="11">
        <v>10.0</v>
      </c>
      <c r="H57" s="10">
        <v>7.0</v>
      </c>
      <c r="I57" s="10">
        <f t="shared" si="5"/>
        <v>24</v>
      </c>
      <c r="J57" s="7" t="s">
        <v>28</v>
      </c>
      <c r="K57" s="7" t="s">
        <v>29</v>
      </c>
      <c r="L57" s="7" t="s">
        <v>19</v>
      </c>
      <c r="M57" s="7"/>
      <c r="N57" s="7"/>
      <c r="O57" s="7"/>
    </row>
    <row r="58">
      <c r="A58" s="12"/>
      <c r="B58" s="12"/>
      <c r="C58" s="7" t="s">
        <v>20</v>
      </c>
      <c r="D58" s="8">
        <v>46121.0</v>
      </c>
      <c r="E58" s="9">
        <v>0.5208333333333334</v>
      </c>
      <c r="F58" s="10">
        <v>7.0</v>
      </c>
      <c r="G58" s="11">
        <v>10.0</v>
      </c>
      <c r="H58" s="10">
        <v>20.0</v>
      </c>
      <c r="I58" s="10">
        <f t="shared" si="5"/>
        <v>37</v>
      </c>
      <c r="J58" s="7" t="s">
        <v>21</v>
      </c>
      <c r="K58" s="7" t="s">
        <v>30</v>
      </c>
      <c r="L58" s="7" t="s">
        <v>19</v>
      </c>
      <c r="M58" s="7"/>
      <c r="N58" s="7"/>
      <c r="O58" s="7"/>
    </row>
    <row r="59">
      <c r="A59" s="5">
        <v>20.0</v>
      </c>
      <c r="B59" s="6" t="s">
        <v>31</v>
      </c>
      <c r="C59" s="7" t="s">
        <v>16</v>
      </c>
      <c r="D59" s="8">
        <v>46121.0</v>
      </c>
      <c r="E59" s="9">
        <v>0.5208333333333334</v>
      </c>
      <c r="F59" s="10">
        <v>10.0</v>
      </c>
      <c r="G59" s="11">
        <v>10.0</v>
      </c>
      <c r="H59" s="10">
        <v>10.0</v>
      </c>
      <c r="I59" s="10">
        <f t="shared" si="5"/>
        <v>30</v>
      </c>
      <c r="J59" s="7" t="s">
        <v>28</v>
      </c>
      <c r="K59" s="13" t="s">
        <v>18</v>
      </c>
      <c r="L59" s="7" t="s">
        <v>19</v>
      </c>
      <c r="M59" s="7"/>
      <c r="N59" s="7"/>
      <c r="O59" s="7"/>
    </row>
    <row r="60">
      <c r="A60" s="12"/>
      <c r="B60" s="12"/>
      <c r="C60" s="7" t="s">
        <v>20</v>
      </c>
      <c r="D60" s="8">
        <v>46121.0</v>
      </c>
      <c r="E60" s="9">
        <v>0.5208333333333334</v>
      </c>
      <c r="F60" s="10">
        <v>10.0</v>
      </c>
      <c r="G60" s="11">
        <v>10.0</v>
      </c>
      <c r="H60" s="10">
        <v>14.0</v>
      </c>
      <c r="I60" s="10">
        <f t="shared" si="5"/>
        <v>34</v>
      </c>
      <c r="J60" s="7" t="s">
        <v>17</v>
      </c>
      <c r="K60" s="7" t="s">
        <v>18</v>
      </c>
      <c r="L60" s="7" t="s">
        <v>19</v>
      </c>
      <c r="M60" s="7"/>
      <c r="N60" s="7"/>
      <c r="O60" s="7"/>
    </row>
    <row r="61">
      <c r="A61" s="5">
        <v>21.0</v>
      </c>
      <c r="B61" s="15" t="s">
        <v>33</v>
      </c>
      <c r="C61" s="7" t="s">
        <v>16</v>
      </c>
      <c r="D61" s="8">
        <v>46121.0</v>
      </c>
      <c r="E61" s="9">
        <v>0.5208333333333334</v>
      </c>
      <c r="F61" s="10">
        <v>16.0</v>
      </c>
      <c r="G61" s="11">
        <v>10.0</v>
      </c>
      <c r="H61" s="10">
        <v>14.0</v>
      </c>
      <c r="I61" s="10">
        <f t="shared" si="5"/>
        <v>40</v>
      </c>
      <c r="J61" s="7" t="s">
        <v>17</v>
      </c>
      <c r="K61" s="7" t="s">
        <v>18</v>
      </c>
      <c r="L61" s="7" t="s">
        <v>19</v>
      </c>
      <c r="M61" s="7"/>
      <c r="N61" s="7"/>
      <c r="O61" s="7"/>
    </row>
    <row r="62">
      <c r="A62" s="12"/>
      <c r="B62" s="12"/>
      <c r="C62" s="7" t="s">
        <v>20</v>
      </c>
      <c r="D62" s="8">
        <v>46121.0</v>
      </c>
      <c r="E62" s="9">
        <v>0.5208333333333334</v>
      </c>
      <c r="F62" s="10">
        <v>16.0</v>
      </c>
      <c r="G62" s="11">
        <v>10.0</v>
      </c>
      <c r="H62" s="10">
        <v>9.0</v>
      </c>
      <c r="I62" s="10">
        <f t="shared" si="5"/>
        <v>35</v>
      </c>
      <c r="J62" s="7" t="s">
        <v>28</v>
      </c>
      <c r="K62" s="7" t="s">
        <v>18</v>
      </c>
      <c r="L62" s="7" t="s">
        <v>19</v>
      </c>
      <c r="M62" s="7"/>
      <c r="N62" s="7"/>
      <c r="O62" s="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>
      <c r="A64" s="4" t="s">
        <v>1</v>
      </c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25" t="s">
        <v>9</v>
      </c>
      <c r="J64" s="4" t="s">
        <v>10</v>
      </c>
      <c r="K64" s="4" t="s">
        <v>11</v>
      </c>
      <c r="L64" s="4" t="s">
        <v>12</v>
      </c>
      <c r="M64" s="4" t="s">
        <v>13</v>
      </c>
      <c r="N64" s="4" t="s">
        <v>10</v>
      </c>
      <c r="O64" s="4" t="s">
        <v>14</v>
      </c>
    </row>
    <row r="65">
      <c r="A65" s="5">
        <v>22.0</v>
      </c>
      <c r="B65" s="6" t="s">
        <v>15</v>
      </c>
      <c r="C65" s="7" t="s">
        <v>16</v>
      </c>
      <c r="D65" s="8">
        <v>46121.0</v>
      </c>
      <c r="E65" s="9">
        <v>0.7708333333333334</v>
      </c>
      <c r="F65" s="10">
        <v>8.0</v>
      </c>
      <c r="G65" s="11">
        <v>10.0</v>
      </c>
      <c r="H65" s="10">
        <v>18.0</v>
      </c>
      <c r="I65" s="10">
        <f t="shared" ref="I65:I74" si="6">F65+G65+H65</f>
        <v>36</v>
      </c>
      <c r="J65" s="7" t="s">
        <v>17</v>
      </c>
      <c r="K65" s="7" t="s">
        <v>18</v>
      </c>
      <c r="L65" s="7" t="s">
        <v>19</v>
      </c>
      <c r="M65" s="7"/>
      <c r="N65" s="7"/>
      <c r="O65" s="7"/>
    </row>
    <row r="66">
      <c r="A66" s="12"/>
      <c r="B66" s="12"/>
      <c r="C66" s="7" t="s">
        <v>20</v>
      </c>
      <c r="D66" s="8">
        <v>46121.0</v>
      </c>
      <c r="E66" s="9">
        <v>0.7708333333333334</v>
      </c>
      <c r="F66" s="10">
        <v>8.0</v>
      </c>
      <c r="G66" s="11">
        <v>10.0</v>
      </c>
      <c r="H66" s="10">
        <v>22.0</v>
      </c>
      <c r="I66" s="10">
        <f t="shared" si="6"/>
        <v>40</v>
      </c>
      <c r="J66" s="7" t="s">
        <v>17</v>
      </c>
      <c r="K66" s="13" t="s">
        <v>44</v>
      </c>
      <c r="L66" s="7" t="s">
        <v>19</v>
      </c>
      <c r="M66" s="7"/>
      <c r="N66" s="7"/>
      <c r="O66" s="7"/>
    </row>
    <row r="67">
      <c r="A67" s="5">
        <v>23.0</v>
      </c>
      <c r="B67" s="6" t="s">
        <v>25</v>
      </c>
      <c r="C67" s="7" t="s">
        <v>16</v>
      </c>
      <c r="D67" s="8">
        <v>46121.0</v>
      </c>
      <c r="E67" s="9">
        <v>0.7708333333333334</v>
      </c>
      <c r="F67" s="10">
        <v>1.0</v>
      </c>
      <c r="G67" s="11">
        <v>10.0</v>
      </c>
      <c r="H67" s="10">
        <v>14.0</v>
      </c>
      <c r="I67" s="10">
        <f t="shared" si="6"/>
        <v>25</v>
      </c>
      <c r="J67" s="7" t="s">
        <v>17</v>
      </c>
      <c r="K67" s="7" t="s">
        <v>18</v>
      </c>
      <c r="L67" s="7" t="s">
        <v>19</v>
      </c>
      <c r="M67" s="7"/>
      <c r="N67" s="7"/>
      <c r="O67" s="7"/>
    </row>
    <row r="68">
      <c r="A68" s="12"/>
      <c r="B68" s="12"/>
      <c r="C68" s="7" t="s">
        <v>20</v>
      </c>
      <c r="D68" s="8">
        <v>46121.0</v>
      </c>
      <c r="E68" s="9">
        <v>0.7708333333333334</v>
      </c>
      <c r="F68" s="10">
        <v>1.0</v>
      </c>
      <c r="G68" s="11">
        <v>10.0</v>
      </c>
      <c r="H68" s="10">
        <v>30.0</v>
      </c>
      <c r="I68" s="10">
        <f t="shared" si="6"/>
        <v>41</v>
      </c>
      <c r="J68" s="7" t="s">
        <v>21</v>
      </c>
      <c r="K68" s="7" t="s">
        <v>18</v>
      </c>
      <c r="L68" s="7" t="s">
        <v>23</v>
      </c>
      <c r="M68" s="14" t="s">
        <v>26</v>
      </c>
      <c r="N68" s="7" t="s">
        <v>17</v>
      </c>
      <c r="O68" s="10">
        <v>6.0</v>
      </c>
    </row>
    <row r="69">
      <c r="A69" s="5">
        <v>24.0</v>
      </c>
      <c r="B69" s="6" t="s">
        <v>27</v>
      </c>
      <c r="C69" s="7" t="s">
        <v>16</v>
      </c>
      <c r="D69" s="8">
        <v>46121.0</v>
      </c>
      <c r="E69" s="9">
        <v>0.7708333333333334</v>
      </c>
      <c r="F69" s="10">
        <v>10.0</v>
      </c>
      <c r="G69" s="11">
        <v>10.0</v>
      </c>
      <c r="H69" s="10">
        <v>9.0</v>
      </c>
      <c r="I69" s="10">
        <f t="shared" si="6"/>
        <v>29</v>
      </c>
      <c r="J69" s="7" t="s">
        <v>28</v>
      </c>
      <c r="K69" s="13" t="s">
        <v>29</v>
      </c>
      <c r="L69" s="7" t="s">
        <v>19</v>
      </c>
      <c r="M69" s="7"/>
      <c r="N69" s="7"/>
      <c r="O69" s="7"/>
    </row>
    <row r="70">
      <c r="A70" s="12"/>
      <c r="B70" s="12"/>
      <c r="C70" s="7" t="s">
        <v>20</v>
      </c>
      <c r="D70" s="8">
        <v>46121.0</v>
      </c>
      <c r="E70" s="9">
        <v>0.7708333333333334</v>
      </c>
      <c r="F70" s="10">
        <v>10.0</v>
      </c>
      <c r="G70" s="11">
        <v>10.0</v>
      </c>
      <c r="H70" s="10">
        <v>20.0</v>
      </c>
      <c r="I70" s="10">
        <f t="shared" si="6"/>
        <v>40</v>
      </c>
      <c r="J70" s="7" t="s">
        <v>21</v>
      </c>
      <c r="K70" s="7" t="s">
        <v>30</v>
      </c>
      <c r="L70" s="7" t="s">
        <v>19</v>
      </c>
      <c r="M70" s="7"/>
      <c r="N70" s="7"/>
      <c r="O70" s="7"/>
    </row>
    <row r="71">
      <c r="A71" s="5">
        <v>25.0</v>
      </c>
      <c r="B71" s="6" t="s">
        <v>31</v>
      </c>
      <c r="C71" s="7" t="s">
        <v>16</v>
      </c>
      <c r="D71" s="8">
        <v>46121.0</v>
      </c>
      <c r="E71" s="9">
        <v>0.7708333333333334</v>
      </c>
      <c r="F71" s="10">
        <v>14.0</v>
      </c>
      <c r="G71" s="11">
        <v>10.0</v>
      </c>
      <c r="H71" s="10">
        <v>14.0</v>
      </c>
      <c r="I71" s="10">
        <f t="shared" si="6"/>
        <v>38</v>
      </c>
      <c r="J71" s="7" t="s">
        <v>21</v>
      </c>
      <c r="K71" s="7" t="s">
        <v>18</v>
      </c>
      <c r="L71" s="7" t="s">
        <v>19</v>
      </c>
      <c r="M71" s="7"/>
      <c r="N71" s="7"/>
      <c r="O71" s="7"/>
    </row>
    <row r="72">
      <c r="A72" s="12"/>
      <c r="B72" s="12"/>
      <c r="C72" s="7" t="s">
        <v>20</v>
      </c>
      <c r="D72" s="8">
        <v>46121.0</v>
      </c>
      <c r="E72" s="9">
        <v>0.7708333333333334</v>
      </c>
      <c r="F72" s="10">
        <v>14.0</v>
      </c>
      <c r="G72" s="11">
        <v>10.0</v>
      </c>
      <c r="H72" s="10">
        <v>16.0</v>
      </c>
      <c r="I72" s="10">
        <f t="shared" si="6"/>
        <v>40</v>
      </c>
      <c r="J72" s="7" t="s">
        <v>21</v>
      </c>
      <c r="K72" s="7" t="s">
        <v>18</v>
      </c>
      <c r="L72" s="7" t="s">
        <v>23</v>
      </c>
      <c r="M72" s="10" t="s">
        <v>45</v>
      </c>
      <c r="N72" s="7" t="s">
        <v>21</v>
      </c>
      <c r="O72" s="10">
        <v>2.0</v>
      </c>
    </row>
    <row r="73">
      <c r="A73" s="5">
        <v>26.0</v>
      </c>
      <c r="B73" s="15" t="s">
        <v>33</v>
      </c>
      <c r="C73" s="7" t="s">
        <v>16</v>
      </c>
      <c r="D73" s="8">
        <v>46121.0</v>
      </c>
      <c r="E73" s="9">
        <v>0.7708333333333334</v>
      </c>
      <c r="F73" s="10">
        <v>20.0</v>
      </c>
      <c r="G73" s="11">
        <v>10.0</v>
      </c>
      <c r="H73" s="10">
        <v>16.0</v>
      </c>
      <c r="I73" s="10">
        <f t="shared" si="6"/>
        <v>46</v>
      </c>
      <c r="J73" s="7" t="s">
        <v>21</v>
      </c>
      <c r="K73" s="7" t="s">
        <v>18</v>
      </c>
      <c r="L73" s="7" t="s">
        <v>19</v>
      </c>
      <c r="M73" s="7"/>
      <c r="N73" s="7"/>
      <c r="O73" s="7"/>
    </row>
    <row r="74">
      <c r="A74" s="12"/>
      <c r="B74" s="12"/>
      <c r="C74" s="7" t="s">
        <v>20</v>
      </c>
      <c r="D74" s="8">
        <v>46121.0</v>
      </c>
      <c r="E74" s="9">
        <v>0.7708333333333334</v>
      </c>
      <c r="F74" s="10">
        <v>20.0</v>
      </c>
      <c r="G74" s="11">
        <v>10.0</v>
      </c>
      <c r="H74" s="10">
        <v>9.0</v>
      </c>
      <c r="I74" s="10">
        <f t="shared" si="6"/>
        <v>39</v>
      </c>
      <c r="J74" s="7" t="s">
        <v>28</v>
      </c>
      <c r="K74" s="16" t="s">
        <v>18</v>
      </c>
      <c r="L74" s="7" t="s">
        <v>23</v>
      </c>
      <c r="M74" s="26" t="s">
        <v>34</v>
      </c>
      <c r="N74" s="7"/>
      <c r="O74" s="10">
        <v>1.0</v>
      </c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>
      <c r="A76" s="24" t="s">
        <v>46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</row>
    <row r="77">
      <c r="A77" s="4" t="s">
        <v>1</v>
      </c>
      <c r="B77" s="4" t="s">
        <v>2</v>
      </c>
      <c r="C77" s="4" t="s">
        <v>3</v>
      </c>
      <c r="D77" s="4" t="s">
        <v>4</v>
      </c>
      <c r="E77" s="4" t="s">
        <v>5</v>
      </c>
      <c r="F77" s="4" t="s">
        <v>6</v>
      </c>
      <c r="G77" s="4" t="s">
        <v>7</v>
      </c>
      <c r="H77" s="4" t="s">
        <v>8</v>
      </c>
      <c r="I77" s="25" t="s">
        <v>9</v>
      </c>
      <c r="J77" s="4" t="s">
        <v>10</v>
      </c>
      <c r="K77" s="4" t="s">
        <v>11</v>
      </c>
      <c r="L77" s="4" t="s">
        <v>12</v>
      </c>
      <c r="M77" s="4" t="s">
        <v>13</v>
      </c>
      <c r="N77" s="4" t="s">
        <v>10</v>
      </c>
      <c r="O77" s="4" t="s">
        <v>14</v>
      </c>
    </row>
    <row r="78">
      <c r="A78" s="5">
        <v>27.0</v>
      </c>
      <c r="B78" s="6" t="s">
        <v>15</v>
      </c>
      <c r="C78" s="7" t="s">
        <v>16</v>
      </c>
      <c r="D78" s="8">
        <v>46120.0</v>
      </c>
      <c r="E78" s="9">
        <v>0.3125</v>
      </c>
      <c r="F78" s="10">
        <v>7.0</v>
      </c>
      <c r="G78" s="11">
        <v>10.0</v>
      </c>
      <c r="H78" s="10">
        <v>22.0</v>
      </c>
      <c r="I78" s="10">
        <f t="shared" ref="I78:I87" si="7">F78+G78+H78</f>
        <v>39</v>
      </c>
      <c r="J78" s="7" t="s">
        <v>17</v>
      </c>
      <c r="K78" s="7" t="s">
        <v>18</v>
      </c>
      <c r="L78" s="7" t="s">
        <v>19</v>
      </c>
      <c r="M78" s="7"/>
      <c r="N78" s="7"/>
      <c r="O78" s="7"/>
    </row>
    <row r="79">
      <c r="A79" s="12"/>
      <c r="B79" s="12"/>
      <c r="C79" s="7" t="s">
        <v>20</v>
      </c>
      <c r="D79" s="8">
        <v>46120.0</v>
      </c>
      <c r="E79" s="9">
        <v>0.3125</v>
      </c>
      <c r="F79" s="10">
        <v>7.0</v>
      </c>
      <c r="G79" s="11">
        <v>10.0</v>
      </c>
      <c r="H79" s="10">
        <v>26.0</v>
      </c>
      <c r="I79" s="10">
        <f t="shared" si="7"/>
        <v>43</v>
      </c>
      <c r="J79" s="7" t="s">
        <v>21</v>
      </c>
      <c r="K79" s="13" t="s">
        <v>44</v>
      </c>
      <c r="L79" s="7" t="s">
        <v>23</v>
      </c>
      <c r="M79" s="20" t="s">
        <v>24</v>
      </c>
      <c r="N79" s="7" t="s">
        <v>17</v>
      </c>
      <c r="O79" s="10">
        <v>2.0</v>
      </c>
    </row>
    <row r="80">
      <c r="A80" s="5">
        <v>28.0</v>
      </c>
      <c r="B80" s="6" t="s">
        <v>25</v>
      </c>
      <c r="C80" s="7" t="s">
        <v>16</v>
      </c>
      <c r="D80" s="8">
        <v>46120.0</v>
      </c>
      <c r="E80" s="9">
        <v>0.3125</v>
      </c>
      <c r="F80" s="10">
        <v>1.0</v>
      </c>
      <c r="G80" s="11">
        <v>10.0</v>
      </c>
      <c r="H80" s="10">
        <v>16.0</v>
      </c>
      <c r="I80" s="10">
        <f t="shared" si="7"/>
        <v>27</v>
      </c>
      <c r="J80" s="7" t="s">
        <v>17</v>
      </c>
      <c r="K80" s="7" t="s">
        <v>18</v>
      </c>
      <c r="L80" s="7" t="s">
        <v>19</v>
      </c>
      <c r="M80" s="7"/>
      <c r="N80" s="7"/>
      <c r="O80" s="7"/>
    </row>
    <row r="81">
      <c r="A81" s="12"/>
      <c r="B81" s="12"/>
      <c r="C81" s="7" t="s">
        <v>20</v>
      </c>
      <c r="D81" s="8">
        <v>46120.0</v>
      </c>
      <c r="E81" s="9">
        <v>0.3125</v>
      </c>
      <c r="F81" s="10">
        <v>1.0</v>
      </c>
      <c r="G81" s="11">
        <v>10.0</v>
      </c>
      <c r="H81" s="10">
        <v>30.0</v>
      </c>
      <c r="I81" s="10">
        <f t="shared" si="7"/>
        <v>41</v>
      </c>
      <c r="J81" s="7" t="s">
        <v>21</v>
      </c>
      <c r="K81" s="7" t="s">
        <v>18</v>
      </c>
      <c r="L81" s="7" t="s">
        <v>23</v>
      </c>
      <c r="M81" s="14" t="s">
        <v>26</v>
      </c>
      <c r="N81" s="7" t="s">
        <v>17</v>
      </c>
      <c r="O81" s="10">
        <v>4.0</v>
      </c>
    </row>
    <row r="82">
      <c r="A82" s="5">
        <v>29.0</v>
      </c>
      <c r="B82" s="6" t="s">
        <v>27</v>
      </c>
      <c r="C82" s="7" t="s">
        <v>16</v>
      </c>
      <c r="D82" s="8">
        <v>46120.0</v>
      </c>
      <c r="E82" s="9">
        <v>0.3125</v>
      </c>
      <c r="F82" s="10">
        <v>10.0</v>
      </c>
      <c r="G82" s="11">
        <v>10.0</v>
      </c>
      <c r="H82" s="10">
        <v>8.0</v>
      </c>
      <c r="I82" s="10">
        <f t="shared" si="7"/>
        <v>28</v>
      </c>
      <c r="J82" s="7" t="s">
        <v>28</v>
      </c>
      <c r="K82" s="7" t="s">
        <v>29</v>
      </c>
      <c r="L82" s="7" t="s">
        <v>19</v>
      </c>
      <c r="M82" s="7"/>
      <c r="N82" s="7"/>
      <c r="O82" s="7"/>
    </row>
    <row r="83">
      <c r="A83" s="12"/>
      <c r="B83" s="12"/>
      <c r="C83" s="7" t="s">
        <v>20</v>
      </c>
      <c r="D83" s="8">
        <v>46120.0</v>
      </c>
      <c r="E83" s="9">
        <v>0.3125</v>
      </c>
      <c r="F83" s="10">
        <v>10.0</v>
      </c>
      <c r="G83" s="11">
        <v>10.0</v>
      </c>
      <c r="H83" s="10">
        <v>20.0</v>
      </c>
      <c r="I83" s="10">
        <f t="shared" si="7"/>
        <v>40</v>
      </c>
      <c r="J83" s="7" t="s">
        <v>21</v>
      </c>
      <c r="K83" s="7" t="s">
        <v>30</v>
      </c>
      <c r="L83" s="7" t="s">
        <v>19</v>
      </c>
      <c r="M83" s="7"/>
      <c r="N83" s="7"/>
      <c r="O83" s="7"/>
    </row>
    <row r="84">
      <c r="A84" s="5">
        <v>30.0</v>
      </c>
      <c r="B84" s="6" t="s">
        <v>31</v>
      </c>
      <c r="C84" s="7" t="s">
        <v>16</v>
      </c>
      <c r="D84" s="8">
        <v>46120.0</v>
      </c>
      <c r="E84" s="9">
        <v>0.3125</v>
      </c>
      <c r="F84" s="10">
        <v>14.0</v>
      </c>
      <c r="G84" s="11">
        <v>10.0</v>
      </c>
      <c r="H84" s="10">
        <v>12.0</v>
      </c>
      <c r="I84" s="10">
        <f t="shared" si="7"/>
        <v>36</v>
      </c>
      <c r="J84" s="7" t="s">
        <v>28</v>
      </c>
      <c r="K84" s="13" t="s">
        <v>18</v>
      </c>
      <c r="L84" s="7" t="s">
        <v>19</v>
      </c>
      <c r="M84" s="7"/>
      <c r="N84" s="7"/>
      <c r="O84" s="7"/>
    </row>
    <row r="85">
      <c r="A85" s="12"/>
      <c r="B85" s="12"/>
      <c r="C85" s="7" t="s">
        <v>20</v>
      </c>
      <c r="D85" s="8">
        <v>46120.0</v>
      </c>
      <c r="E85" s="9">
        <v>0.3125</v>
      </c>
      <c r="F85" s="10">
        <v>14.0</v>
      </c>
      <c r="G85" s="11">
        <v>10.0</v>
      </c>
      <c r="H85" s="10">
        <v>18.0</v>
      </c>
      <c r="I85" s="10">
        <f t="shared" si="7"/>
        <v>42</v>
      </c>
      <c r="J85" s="7" t="s">
        <v>21</v>
      </c>
      <c r="K85" s="7" t="s">
        <v>18</v>
      </c>
      <c r="L85" s="7" t="s">
        <v>19</v>
      </c>
      <c r="M85" s="7"/>
      <c r="N85" s="7"/>
      <c r="O85" s="7"/>
    </row>
    <row r="86">
      <c r="A86" s="5">
        <v>31.0</v>
      </c>
      <c r="B86" s="15" t="s">
        <v>33</v>
      </c>
      <c r="C86" s="7" t="s">
        <v>16</v>
      </c>
      <c r="D86" s="8">
        <v>46120.0</v>
      </c>
      <c r="E86" s="9">
        <v>0.3125</v>
      </c>
      <c r="F86" s="10">
        <v>20.0</v>
      </c>
      <c r="G86" s="11">
        <v>10.0</v>
      </c>
      <c r="H86" s="10">
        <v>16.0</v>
      </c>
      <c r="I86" s="10">
        <f t="shared" si="7"/>
        <v>46</v>
      </c>
      <c r="J86" s="7" t="s">
        <v>21</v>
      </c>
      <c r="K86" s="7" t="s">
        <v>18</v>
      </c>
      <c r="L86" s="7" t="s">
        <v>19</v>
      </c>
      <c r="M86" s="7"/>
      <c r="N86" s="7"/>
      <c r="O86" s="7"/>
    </row>
    <row r="87">
      <c r="A87" s="12"/>
      <c r="B87" s="12"/>
      <c r="C87" s="7" t="s">
        <v>20</v>
      </c>
      <c r="D87" s="8">
        <v>46120.0</v>
      </c>
      <c r="E87" s="9">
        <v>0.3125</v>
      </c>
      <c r="F87" s="10">
        <v>20.0</v>
      </c>
      <c r="G87" s="11">
        <v>10.0</v>
      </c>
      <c r="H87" s="10">
        <v>12.0</v>
      </c>
      <c r="I87" s="10">
        <f t="shared" si="7"/>
        <v>42</v>
      </c>
      <c r="J87" s="7" t="s">
        <v>17</v>
      </c>
      <c r="K87" s="27" t="s">
        <v>18</v>
      </c>
      <c r="L87" s="7" t="s">
        <v>23</v>
      </c>
      <c r="M87" s="10" t="s">
        <v>34</v>
      </c>
      <c r="N87" s="7" t="s">
        <v>17</v>
      </c>
      <c r="O87" s="10">
        <v>2.0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>
      <c r="A89" s="4" t="s">
        <v>1</v>
      </c>
      <c r="B89" s="4" t="s">
        <v>2</v>
      </c>
      <c r="C89" s="4" t="s">
        <v>3</v>
      </c>
      <c r="D89" s="4" t="s">
        <v>4</v>
      </c>
      <c r="E89" s="4" t="s">
        <v>5</v>
      </c>
      <c r="F89" s="4" t="s">
        <v>6</v>
      </c>
      <c r="G89" s="4" t="s">
        <v>7</v>
      </c>
      <c r="H89" s="4" t="s">
        <v>8</v>
      </c>
      <c r="I89" s="25" t="s">
        <v>9</v>
      </c>
      <c r="J89" s="4" t="s">
        <v>10</v>
      </c>
      <c r="K89" s="4" t="s">
        <v>11</v>
      </c>
      <c r="L89" s="4" t="s">
        <v>12</v>
      </c>
      <c r="M89" s="4" t="s">
        <v>13</v>
      </c>
      <c r="N89" s="4" t="s">
        <v>10</v>
      </c>
      <c r="O89" s="4" t="s">
        <v>14</v>
      </c>
    </row>
    <row r="90">
      <c r="A90" s="5">
        <v>32.0</v>
      </c>
      <c r="B90" s="6" t="s">
        <v>15</v>
      </c>
      <c r="C90" s="7" t="s">
        <v>16</v>
      </c>
      <c r="D90" s="8">
        <v>46120.0</v>
      </c>
      <c r="E90" s="9">
        <v>0.5208333333333334</v>
      </c>
      <c r="F90" s="10">
        <v>6.0</v>
      </c>
      <c r="G90" s="11">
        <v>10.0</v>
      </c>
      <c r="H90" s="10">
        <v>16.0</v>
      </c>
      <c r="I90" s="10">
        <f t="shared" ref="I90:I99" si="8">F90+G90+H90</f>
        <v>32</v>
      </c>
      <c r="J90" s="7" t="s">
        <v>28</v>
      </c>
      <c r="K90" s="7" t="s">
        <v>18</v>
      </c>
      <c r="L90" s="7" t="s">
        <v>19</v>
      </c>
      <c r="M90" s="7"/>
      <c r="N90" s="7"/>
      <c r="O90" s="7"/>
    </row>
    <row r="91">
      <c r="A91" s="12"/>
      <c r="B91" s="12"/>
      <c r="C91" s="7" t="s">
        <v>20</v>
      </c>
      <c r="D91" s="8">
        <v>46120.0</v>
      </c>
      <c r="E91" s="9">
        <v>0.5208333333333334</v>
      </c>
      <c r="F91" s="10">
        <v>6.0</v>
      </c>
      <c r="G91" s="11">
        <v>10.0</v>
      </c>
      <c r="H91" s="10">
        <v>22.0</v>
      </c>
      <c r="I91" s="10">
        <f t="shared" si="8"/>
        <v>38</v>
      </c>
      <c r="J91" s="7" t="s">
        <v>17</v>
      </c>
      <c r="K91" s="13" t="s">
        <v>44</v>
      </c>
      <c r="L91" s="7" t="s">
        <v>23</v>
      </c>
      <c r="M91" s="26" t="s">
        <v>24</v>
      </c>
      <c r="N91" s="7" t="s">
        <v>28</v>
      </c>
      <c r="O91" s="10">
        <v>4.0</v>
      </c>
    </row>
    <row r="92">
      <c r="A92" s="5">
        <v>33.0</v>
      </c>
      <c r="B92" s="6" t="s">
        <v>25</v>
      </c>
      <c r="C92" s="7" t="s">
        <v>16</v>
      </c>
      <c r="D92" s="8">
        <v>46120.0</v>
      </c>
      <c r="E92" s="9">
        <v>0.5208333333333334</v>
      </c>
      <c r="F92" s="10">
        <v>1.0</v>
      </c>
      <c r="G92" s="11">
        <v>10.0</v>
      </c>
      <c r="H92" s="10">
        <v>12.0</v>
      </c>
      <c r="I92" s="10">
        <f t="shared" si="8"/>
        <v>23</v>
      </c>
      <c r="J92" s="7" t="s">
        <v>28</v>
      </c>
      <c r="K92" s="7" t="s">
        <v>18</v>
      </c>
      <c r="L92" s="7" t="s">
        <v>19</v>
      </c>
      <c r="M92" s="7"/>
      <c r="N92" s="7"/>
      <c r="O92" s="7"/>
    </row>
    <row r="93">
      <c r="A93" s="12"/>
      <c r="B93" s="12"/>
      <c r="C93" s="7" t="s">
        <v>20</v>
      </c>
      <c r="D93" s="8">
        <v>46120.0</v>
      </c>
      <c r="E93" s="9">
        <v>0.5208333333333334</v>
      </c>
      <c r="F93" s="10">
        <v>1.0</v>
      </c>
      <c r="G93" s="11">
        <v>10.0</v>
      </c>
      <c r="H93" s="10">
        <v>26.0</v>
      </c>
      <c r="I93" s="10">
        <f t="shared" si="8"/>
        <v>37</v>
      </c>
      <c r="J93" s="7" t="s">
        <v>21</v>
      </c>
      <c r="K93" s="7" t="s">
        <v>18</v>
      </c>
      <c r="L93" s="7" t="s">
        <v>23</v>
      </c>
      <c r="M93" s="14" t="s">
        <v>26</v>
      </c>
      <c r="N93" s="7" t="s">
        <v>17</v>
      </c>
      <c r="O93" s="10">
        <v>2.0</v>
      </c>
    </row>
    <row r="94">
      <c r="A94" s="5">
        <v>34.0</v>
      </c>
      <c r="B94" s="6" t="s">
        <v>27</v>
      </c>
      <c r="C94" s="7" t="s">
        <v>16</v>
      </c>
      <c r="D94" s="8">
        <v>46120.0</v>
      </c>
      <c r="E94" s="9">
        <v>0.5208333333333334</v>
      </c>
      <c r="F94" s="10">
        <v>7.0</v>
      </c>
      <c r="G94" s="11">
        <v>10.0</v>
      </c>
      <c r="H94" s="10">
        <v>8.0</v>
      </c>
      <c r="I94" s="10">
        <f t="shared" si="8"/>
        <v>25</v>
      </c>
      <c r="J94" s="7" t="s">
        <v>28</v>
      </c>
      <c r="K94" s="7" t="s">
        <v>29</v>
      </c>
      <c r="L94" s="7" t="s">
        <v>19</v>
      </c>
      <c r="M94" s="7"/>
      <c r="N94" s="7"/>
      <c r="O94" s="7"/>
    </row>
    <row r="95">
      <c r="A95" s="12"/>
      <c r="B95" s="12"/>
      <c r="C95" s="7" t="s">
        <v>20</v>
      </c>
      <c r="D95" s="8">
        <v>46120.0</v>
      </c>
      <c r="E95" s="9">
        <v>0.5208333333333334</v>
      </c>
      <c r="F95" s="10">
        <v>7.0</v>
      </c>
      <c r="G95" s="11">
        <v>10.0</v>
      </c>
      <c r="H95" s="10">
        <v>20.0</v>
      </c>
      <c r="I95" s="10">
        <f t="shared" si="8"/>
        <v>37</v>
      </c>
      <c r="J95" s="7" t="s">
        <v>21</v>
      </c>
      <c r="K95" s="7" t="s">
        <v>30</v>
      </c>
      <c r="L95" s="7" t="s">
        <v>19</v>
      </c>
      <c r="M95" s="7"/>
      <c r="N95" s="7"/>
      <c r="O95" s="7"/>
    </row>
    <row r="96">
      <c r="A96" s="5">
        <v>35.0</v>
      </c>
      <c r="B96" s="6" t="s">
        <v>31</v>
      </c>
      <c r="C96" s="7" t="s">
        <v>16</v>
      </c>
      <c r="D96" s="8">
        <v>46120.0</v>
      </c>
      <c r="E96" s="9">
        <v>0.5208333333333334</v>
      </c>
      <c r="F96" s="10">
        <v>12.0</v>
      </c>
      <c r="G96" s="11">
        <v>10.0</v>
      </c>
      <c r="H96" s="10">
        <v>10.0</v>
      </c>
      <c r="I96" s="10">
        <f t="shared" si="8"/>
        <v>32</v>
      </c>
      <c r="J96" s="7" t="s">
        <v>28</v>
      </c>
      <c r="K96" s="13" t="s">
        <v>18</v>
      </c>
      <c r="L96" s="7" t="s">
        <v>19</v>
      </c>
      <c r="M96" s="7"/>
      <c r="N96" s="7"/>
      <c r="O96" s="7"/>
    </row>
    <row r="97">
      <c r="A97" s="12"/>
      <c r="B97" s="12"/>
      <c r="C97" s="7" t="s">
        <v>20</v>
      </c>
      <c r="D97" s="8">
        <v>46120.0</v>
      </c>
      <c r="E97" s="9">
        <v>0.5208333333333334</v>
      </c>
      <c r="F97" s="10">
        <v>12.0</v>
      </c>
      <c r="G97" s="11">
        <v>10.0</v>
      </c>
      <c r="H97" s="10">
        <v>14.0</v>
      </c>
      <c r="I97" s="10">
        <f t="shared" si="8"/>
        <v>36</v>
      </c>
      <c r="J97" s="7" t="s">
        <v>17</v>
      </c>
      <c r="K97" s="7" t="s">
        <v>18</v>
      </c>
      <c r="L97" s="7" t="s">
        <v>19</v>
      </c>
      <c r="M97" s="7"/>
      <c r="N97" s="7"/>
      <c r="O97" s="7"/>
    </row>
    <row r="98">
      <c r="A98" s="5">
        <v>36.0</v>
      </c>
      <c r="B98" s="15" t="s">
        <v>33</v>
      </c>
      <c r="C98" s="7" t="s">
        <v>16</v>
      </c>
      <c r="D98" s="8">
        <v>46120.0</v>
      </c>
      <c r="E98" s="9">
        <v>0.5208333333333334</v>
      </c>
      <c r="F98" s="10">
        <v>16.0</v>
      </c>
      <c r="G98" s="11">
        <v>10.0</v>
      </c>
      <c r="H98" s="10">
        <v>14.0</v>
      </c>
      <c r="I98" s="10">
        <f t="shared" si="8"/>
        <v>40</v>
      </c>
      <c r="J98" s="7" t="s">
        <v>17</v>
      </c>
      <c r="K98" s="7" t="s">
        <v>18</v>
      </c>
      <c r="L98" s="7" t="s">
        <v>19</v>
      </c>
      <c r="M98" s="7"/>
      <c r="N98" s="7"/>
      <c r="O98" s="7"/>
    </row>
    <row r="99">
      <c r="A99" s="12"/>
      <c r="B99" s="12"/>
      <c r="C99" s="7" t="s">
        <v>20</v>
      </c>
      <c r="D99" s="8">
        <v>46120.0</v>
      </c>
      <c r="E99" s="9">
        <v>0.5208333333333334</v>
      </c>
      <c r="F99" s="10">
        <v>16.0</v>
      </c>
      <c r="G99" s="11">
        <v>10.0</v>
      </c>
      <c r="H99" s="10">
        <v>9.0</v>
      </c>
      <c r="I99" s="10">
        <f t="shared" si="8"/>
        <v>35</v>
      </c>
      <c r="J99" s="7" t="s">
        <v>28</v>
      </c>
      <c r="K99" s="16" t="s">
        <v>18</v>
      </c>
      <c r="L99" s="7" t="s">
        <v>19</v>
      </c>
      <c r="M99" s="7"/>
      <c r="N99" s="7"/>
      <c r="O99" s="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>
      <c r="A101" s="4" t="s">
        <v>1</v>
      </c>
      <c r="B101" s="4" t="s">
        <v>2</v>
      </c>
      <c r="C101" s="4" t="s">
        <v>3</v>
      </c>
      <c r="D101" s="4" t="s">
        <v>4</v>
      </c>
      <c r="E101" s="4" t="s">
        <v>5</v>
      </c>
      <c r="F101" s="4" t="s">
        <v>6</v>
      </c>
      <c r="G101" s="4" t="s">
        <v>7</v>
      </c>
      <c r="H101" s="4" t="s">
        <v>8</v>
      </c>
      <c r="I101" s="25" t="s">
        <v>9</v>
      </c>
      <c r="J101" s="4" t="s">
        <v>10</v>
      </c>
      <c r="K101" s="4" t="s">
        <v>11</v>
      </c>
      <c r="L101" s="4" t="s">
        <v>12</v>
      </c>
      <c r="M101" s="4" t="s">
        <v>13</v>
      </c>
      <c r="N101" s="4" t="s">
        <v>10</v>
      </c>
      <c r="O101" s="4" t="s">
        <v>14</v>
      </c>
    </row>
    <row r="102">
      <c r="A102" s="5">
        <v>37.0</v>
      </c>
      <c r="B102" s="6" t="s">
        <v>15</v>
      </c>
      <c r="C102" s="7" t="s">
        <v>16</v>
      </c>
      <c r="D102" s="8">
        <v>46120.0</v>
      </c>
      <c r="E102" s="9">
        <v>0.7708333333333334</v>
      </c>
      <c r="F102" s="10">
        <v>8.0</v>
      </c>
      <c r="G102" s="11">
        <v>10.0</v>
      </c>
      <c r="H102" s="10">
        <v>18.0</v>
      </c>
      <c r="I102" s="10">
        <f t="shared" ref="I102:I111" si="9">F102+G102+H102</f>
        <v>36</v>
      </c>
      <c r="J102" s="7" t="s">
        <v>17</v>
      </c>
      <c r="K102" s="7" t="s">
        <v>18</v>
      </c>
      <c r="L102" s="7" t="s">
        <v>19</v>
      </c>
      <c r="M102" s="7"/>
      <c r="N102" s="7"/>
      <c r="O102" s="7"/>
    </row>
    <row r="103">
      <c r="A103" s="12"/>
      <c r="B103" s="12"/>
      <c r="C103" s="7" t="s">
        <v>20</v>
      </c>
      <c r="D103" s="8">
        <v>46120.0</v>
      </c>
      <c r="E103" s="9">
        <v>0.7708333333333334</v>
      </c>
      <c r="F103" s="10">
        <v>8.0</v>
      </c>
      <c r="G103" s="11">
        <v>10.0</v>
      </c>
      <c r="H103" s="10">
        <v>22.0</v>
      </c>
      <c r="I103" s="10">
        <f t="shared" si="9"/>
        <v>40</v>
      </c>
      <c r="J103" s="7" t="s">
        <v>17</v>
      </c>
      <c r="K103" s="13" t="s">
        <v>22</v>
      </c>
      <c r="L103" s="7" t="s">
        <v>19</v>
      </c>
      <c r="M103" s="26" t="s">
        <v>24</v>
      </c>
      <c r="N103" s="7" t="s">
        <v>17</v>
      </c>
      <c r="O103" s="10">
        <v>2.0</v>
      </c>
    </row>
    <row r="104">
      <c r="A104" s="5">
        <v>38.0</v>
      </c>
      <c r="B104" s="6" t="s">
        <v>25</v>
      </c>
      <c r="C104" s="7" t="s">
        <v>16</v>
      </c>
      <c r="D104" s="8">
        <v>46120.0</v>
      </c>
      <c r="E104" s="9">
        <v>0.7708333333333334</v>
      </c>
      <c r="F104" s="10">
        <v>1.0</v>
      </c>
      <c r="G104" s="11">
        <v>10.0</v>
      </c>
      <c r="H104" s="10">
        <v>14.0</v>
      </c>
      <c r="I104" s="10">
        <f t="shared" si="9"/>
        <v>25</v>
      </c>
      <c r="J104" s="7" t="s">
        <v>17</v>
      </c>
      <c r="K104" s="7" t="s">
        <v>18</v>
      </c>
      <c r="L104" s="7" t="s">
        <v>19</v>
      </c>
      <c r="M104" s="7"/>
      <c r="N104" s="7"/>
      <c r="O104" s="7"/>
    </row>
    <row r="105">
      <c r="A105" s="12"/>
      <c r="B105" s="12"/>
      <c r="C105" s="7" t="s">
        <v>20</v>
      </c>
      <c r="D105" s="8">
        <v>46120.0</v>
      </c>
      <c r="E105" s="9">
        <v>0.7708333333333334</v>
      </c>
      <c r="F105" s="10">
        <v>1.0</v>
      </c>
      <c r="G105" s="11">
        <v>10.0</v>
      </c>
      <c r="H105" s="10">
        <v>30.0</v>
      </c>
      <c r="I105" s="10">
        <f t="shared" si="9"/>
        <v>41</v>
      </c>
      <c r="J105" s="7" t="s">
        <v>21</v>
      </c>
      <c r="K105" s="7" t="s">
        <v>18</v>
      </c>
      <c r="L105" s="7" t="s">
        <v>23</v>
      </c>
      <c r="M105" s="14" t="s">
        <v>26</v>
      </c>
      <c r="N105" s="7" t="s">
        <v>17</v>
      </c>
      <c r="O105" s="10">
        <v>4.0</v>
      </c>
    </row>
    <row r="106">
      <c r="A106" s="5">
        <v>39.0</v>
      </c>
      <c r="B106" s="6" t="s">
        <v>27</v>
      </c>
      <c r="C106" s="7" t="s">
        <v>16</v>
      </c>
      <c r="D106" s="8">
        <v>46120.0</v>
      </c>
      <c r="E106" s="9">
        <v>0.7708333333333334</v>
      </c>
      <c r="F106" s="10">
        <v>9.0</v>
      </c>
      <c r="G106" s="11">
        <v>10.0</v>
      </c>
      <c r="H106" s="10">
        <v>8.0</v>
      </c>
      <c r="I106" s="10">
        <f t="shared" si="9"/>
        <v>27</v>
      </c>
      <c r="J106" s="7" t="s">
        <v>28</v>
      </c>
      <c r="K106" s="13" t="s">
        <v>29</v>
      </c>
      <c r="L106" s="7" t="s">
        <v>19</v>
      </c>
      <c r="M106" s="7"/>
      <c r="N106" s="7"/>
      <c r="O106" s="7"/>
    </row>
    <row r="107">
      <c r="A107" s="12"/>
      <c r="B107" s="12"/>
      <c r="C107" s="7" t="s">
        <v>20</v>
      </c>
      <c r="D107" s="8">
        <v>46120.0</v>
      </c>
      <c r="E107" s="9">
        <v>0.7708333333333334</v>
      </c>
      <c r="F107" s="10">
        <v>9.0</v>
      </c>
      <c r="G107" s="11">
        <v>10.0</v>
      </c>
      <c r="H107" s="10">
        <v>22.0</v>
      </c>
      <c r="I107" s="10">
        <f t="shared" si="9"/>
        <v>41</v>
      </c>
      <c r="J107" s="7" t="s">
        <v>21</v>
      </c>
      <c r="K107" s="7" t="s">
        <v>36</v>
      </c>
      <c r="L107" s="7" t="s">
        <v>23</v>
      </c>
      <c r="M107" s="26" t="s">
        <v>47</v>
      </c>
      <c r="N107" s="7" t="s">
        <v>17</v>
      </c>
      <c r="O107" s="10">
        <v>2.0</v>
      </c>
    </row>
    <row r="108">
      <c r="A108" s="5">
        <v>40.0</v>
      </c>
      <c r="B108" s="6" t="s">
        <v>31</v>
      </c>
      <c r="C108" s="7" t="s">
        <v>16</v>
      </c>
      <c r="D108" s="8">
        <v>46120.0</v>
      </c>
      <c r="E108" s="9">
        <v>0.7708333333333334</v>
      </c>
      <c r="F108" s="10">
        <v>12.0</v>
      </c>
      <c r="G108" s="11">
        <v>10.0</v>
      </c>
      <c r="H108" s="10">
        <v>12.0</v>
      </c>
      <c r="I108" s="10">
        <f t="shared" si="9"/>
        <v>34</v>
      </c>
      <c r="J108" s="7" t="s">
        <v>17</v>
      </c>
      <c r="K108" s="20" t="s">
        <v>18</v>
      </c>
      <c r="L108" s="7" t="s">
        <v>19</v>
      </c>
      <c r="M108" s="7"/>
      <c r="N108" s="7"/>
      <c r="O108" s="7"/>
    </row>
    <row r="109">
      <c r="A109" s="12"/>
      <c r="B109" s="12"/>
      <c r="C109" s="7" t="s">
        <v>20</v>
      </c>
      <c r="D109" s="8">
        <v>46120.0</v>
      </c>
      <c r="E109" s="9">
        <v>0.7708333333333334</v>
      </c>
      <c r="F109" s="10">
        <v>12.0</v>
      </c>
      <c r="G109" s="11">
        <v>10.0</v>
      </c>
      <c r="H109" s="10">
        <v>14.0</v>
      </c>
      <c r="I109" s="10">
        <f t="shared" si="9"/>
        <v>36</v>
      </c>
      <c r="J109" s="7" t="s">
        <v>21</v>
      </c>
      <c r="K109" s="7" t="s">
        <v>18</v>
      </c>
      <c r="L109" s="7" t="s">
        <v>19</v>
      </c>
      <c r="M109" s="7"/>
      <c r="N109" s="7"/>
      <c r="O109" s="7"/>
    </row>
    <row r="110">
      <c r="A110" s="5">
        <v>41.0</v>
      </c>
      <c r="B110" s="15" t="s">
        <v>33</v>
      </c>
      <c r="C110" s="7" t="s">
        <v>16</v>
      </c>
      <c r="D110" s="8">
        <v>46120.0</v>
      </c>
      <c r="E110" s="9">
        <v>0.7708333333333334</v>
      </c>
      <c r="F110" s="10">
        <v>20.0</v>
      </c>
      <c r="G110" s="11">
        <v>10.0</v>
      </c>
      <c r="H110" s="10">
        <v>14.0</v>
      </c>
      <c r="I110" s="10">
        <f t="shared" si="9"/>
        <v>44</v>
      </c>
      <c r="J110" s="7" t="s">
        <v>17</v>
      </c>
      <c r="K110" s="7" t="s">
        <v>18</v>
      </c>
      <c r="L110" s="7" t="s">
        <v>19</v>
      </c>
      <c r="M110" s="7"/>
      <c r="N110" s="7"/>
      <c r="O110" s="7"/>
    </row>
    <row r="111">
      <c r="A111" s="12"/>
      <c r="B111" s="12"/>
      <c r="C111" s="7" t="s">
        <v>20</v>
      </c>
      <c r="D111" s="8">
        <v>46120.0</v>
      </c>
      <c r="E111" s="9">
        <v>0.7708333333333334</v>
      </c>
      <c r="F111" s="10">
        <v>20.0</v>
      </c>
      <c r="G111" s="11">
        <v>10.0</v>
      </c>
      <c r="H111" s="10">
        <v>8.0</v>
      </c>
      <c r="I111" s="10">
        <f t="shared" si="9"/>
        <v>38</v>
      </c>
      <c r="J111" s="7" t="s">
        <v>28</v>
      </c>
      <c r="K111" s="16" t="s">
        <v>18</v>
      </c>
      <c r="L111" s="7" t="s">
        <v>19</v>
      </c>
      <c r="M111" s="7"/>
      <c r="N111" s="7"/>
      <c r="O111" s="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>
      <c r="A113" s="24" t="s">
        <v>48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</row>
    <row r="114">
      <c r="A114" s="4" t="s">
        <v>1</v>
      </c>
      <c r="B114" s="4" t="s">
        <v>2</v>
      </c>
      <c r="C114" s="4" t="s">
        <v>3</v>
      </c>
      <c r="D114" s="4" t="s">
        <v>4</v>
      </c>
      <c r="E114" s="4" t="s">
        <v>5</v>
      </c>
      <c r="F114" s="4" t="s">
        <v>6</v>
      </c>
      <c r="G114" s="4" t="s">
        <v>7</v>
      </c>
      <c r="H114" s="4" t="s">
        <v>8</v>
      </c>
      <c r="I114" s="25" t="s">
        <v>9</v>
      </c>
      <c r="J114" s="4" t="s">
        <v>10</v>
      </c>
      <c r="K114" s="4" t="s">
        <v>11</v>
      </c>
      <c r="L114" s="4" t="s">
        <v>12</v>
      </c>
      <c r="M114" s="4" t="s">
        <v>13</v>
      </c>
      <c r="N114" s="4" t="s">
        <v>10</v>
      </c>
      <c r="O114" s="4" t="s">
        <v>14</v>
      </c>
    </row>
    <row r="115">
      <c r="A115" s="5">
        <v>42.0</v>
      </c>
      <c r="B115" s="6" t="s">
        <v>15</v>
      </c>
      <c r="C115" s="7" t="s">
        <v>16</v>
      </c>
      <c r="D115" s="8">
        <v>46119.0</v>
      </c>
      <c r="E115" s="9">
        <v>0.3125</v>
      </c>
      <c r="F115" s="10">
        <v>7.0</v>
      </c>
      <c r="G115" s="11">
        <v>10.0</v>
      </c>
      <c r="H115" s="10">
        <v>22.0</v>
      </c>
      <c r="I115" s="10">
        <f t="shared" ref="I115:I124" si="10">F115+G115+H115</f>
        <v>39</v>
      </c>
      <c r="J115" s="7" t="s">
        <v>17</v>
      </c>
      <c r="K115" s="7" t="s">
        <v>18</v>
      </c>
      <c r="L115" s="7" t="s">
        <v>19</v>
      </c>
      <c r="M115" s="7"/>
      <c r="N115" s="7"/>
      <c r="O115" s="7"/>
    </row>
    <row r="116">
      <c r="A116" s="12"/>
      <c r="B116" s="12"/>
      <c r="C116" s="7" t="s">
        <v>20</v>
      </c>
      <c r="D116" s="8">
        <v>46119.0</v>
      </c>
      <c r="E116" s="9">
        <v>0.3125</v>
      </c>
      <c r="F116" s="10">
        <v>7.0</v>
      </c>
      <c r="G116" s="11">
        <v>10.0</v>
      </c>
      <c r="H116" s="10">
        <v>26.0</v>
      </c>
      <c r="I116" s="10">
        <f t="shared" si="10"/>
        <v>43</v>
      </c>
      <c r="J116" s="7" t="s">
        <v>21</v>
      </c>
      <c r="K116" s="13" t="s">
        <v>22</v>
      </c>
      <c r="L116" s="7" t="s">
        <v>19</v>
      </c>
      <c r="M116" s="26" t="s">
        <v>24</v>
      </c>
      <c r="N116" s="7" t="s">
        <v>17</v>
      </c>
      <c r="O116" s="10">
        <v>2.0</v>
      </c>
    </row>
    <row r="117">
      <c r="A117" s="5">
        <v>43.0</v>
      </c>
      <c r="B117" s="6" t="s">
        <v>25</v>
      </c>
      <c r="C117" s="7" t="s">
        <v>16</v>
      </c>
      <c r="D117" s="8">
        <v>46119.0</v>
      </c>
      <c r="E117" s="9">
        <v>0.3125</v>
      </c>
      <c r="F117" s="10">
        <v>1.0</v>
      </c>
      <c r="G117" s="11">
        <v>10.0</v>
      </c>
      <c r="H117" s="10">
        <v>16.0</v>
      </c>
      <c r="I117" s="10">
        <f t="shared" si="10"/>
        <v>27</v>
      </c>
      <c r="J117" s="7" t="s">
        <v>17</v>
      </c>
      <c r="K117" s="7" t="s">
        <v>18</v>
      </c>
      <c r="L117" s="7" t="s">
        <v>19</v>
      </c>
      <c r="M117" s="7"/>
      <c r="N117" s="7"/>
      <c r="O117" s="7"/>
    </row>
    <row r="118">
      <c r="A118" s="12"/>
      <c r="B118" s="12"/>
      <c r="C118" s="7" t="s">
        <v>20</v>
      </c>
      <c r="D118" s="8">
        <v>46119.0</v>
      </c>
      <c r="E118" s="9">
        <v>0.3125</v>
      </c>
      <c r="F118" s="10">
        <v>1.0</v>
      </c>
      <c r="G118" s="11">
        <v>10.0</v>
      </c>
      <c r="H118" s="10">
        <v>30.0</v>
      </c>
      <c r="I118" s="10">
        <f t="shared" si="10"/>
        <v>41</v>
      </c>
      <c r="J118" s="7" t="s">
        <v>21</v>
      </c>
      <c r="K118" s="7" t="s">
        <v>18</v>
      </c>
      <c r="L118" s="7" t="s">
        <v>23</v>
      </c>
      <c r="M118" s="26" t="s">
        <v>26</v>
      </c>
      <c r="N118" s="7"/>
      <c r="O118" s="10">
        <v>4.0</v>
      </c>
    </row>
    <row r="119">
      <c r="A119" s="5">
        <v>44.0</v>
      </c>
      <c r="B119" s="6" t="s">
        <v>27</v>
      </c>
      <c r="C119" s="10" t="s">
        <v>16</v>
      </c>
      <c r="D119" s="8">
        <v>46119.0</v>
      </c>
      <c r="E119" s="9">
        <v>0.3125</v>
      </c>
      <c r="F119" s="10">
        <v>12.0</v>
      </c>
      <c r="G119" s="11">
        <v>10.0</v>
      </c>
      <c r="H119" s="10">
        <v>8.0</v>
      </c>
      <c r="I119" s="10">
        <f t="shared" si="10"/>
        <v>30</v>
      </c>
      <c r="J119" s="10" t="s">
        <v>28</v>
      </c>
      <c r="K119" s="14" t="s">
        <v>29</v>
      </c>
      <c r="L119" s="7" t="s">
        <v>19</v>
      </c>
      <c r="M119" s="7"/>
      <c r="N119" s="7"/>
      <c r="O119" s="7"/>
    </row>
    <row r="120">
      <c r="A120" s="12"/>
      <c r="B120" s="12"/>
      <c r="C120" s="7" t="s">
        <v>20</v>
      </c>
      <c r="D120" s="8">
        <v>46119.0</v>
      </c>
      <c r="E120" s="9">
        <v>0.3125</v>
      </c>
      <c r="F120" s="10">
        <v>12.0</v>
      </c>
      <c r="G120" s="11">
        <v>10.0</v>
      </c>
      <c r="H120" s="10">
        <v>20.0</v>
      </c>
      <c r="I120" s="10">
        <f t="shared" si="10"/>
        <v>42</v>
      </c>
      <c r="J120" s="7" t="s">
        <v>21</v>
      </c>
      <c r="K120" s="7" t="s">
        <v>36</v>
      </c>
      <c r="L120" s="7" t="s">
        <v>19</v>
      </c>
      <c r="M120" s="7"/>
      <c r="N120" s="7"/>
      <c r="O120" s="7"/>
    </row>
    <row r="121">
      <c r="A121" s="5">
        <v>45.0</v>
      </c>
      <c r="B121" s="6" t="s">
        <v>31</v>
      </c>
      <c r="C121" s="7" t="s">
        <v>16</v>
      </c>
      <c r="D121" s="8">
        <v>46119.0</v>
      </c>
      <c r="E121" s="9">
        <v>0.3125</v>
      </c>
      <c r="F121" s="10">
        <v>14.0</v>
      </c>
      <c r="G121" s="11">
        <v>10.0</v>
      </c>
      <c r="H121" s="10">
        <v>12.0</v>
      </c>
      <c r="I121" s="10">
        <f t="shared" si="10"/>
        <v>36</v>
      </c>
      <c r="J121" s="7" t="s">
        <v>28</v>
      </c>
      <c r="K121" s="20" t="s">
        <v>18</v>
      </c>
      <c r="L121" s="7" t="s">
        <v>19</v>
      </c>
      <c r="M121" s="7"/>
      <c r="N121" s="7"/>
      <c r="O121" s="7"/>
    </row>
    <row r="122">
      <c r="A122" s="12"/>
      <c r="B122" s="12"/>
      <c r="C122" s="7" t="s">
        <v>20</v>
      </c>
      <c r="D122" s="8">
        <v>46119.0</v>
      </c>
      <c r="E122" s="9">
        <v>0.3125</v>
      </c>
      <c r="F122" s="10">
        <v>14.0</v>
      </c>
      <c r="G122" s="11">
        <v>10.0</v>
      </c>
      <c r="H122" s="10">
        <v>18.0</v>
      </c>
      <c r="I122" s="10">
        <f t="shared" si="10"/>
        <v>42</v>
      </c>
      <c r="J122" s="7" t="s">
        <v>21</v>
      </c>
      <c r="K122" s="7" t="s">
        <v>18</v>
      </c>
      <c r="L122" s="7" t="s">
        <v>19</v>
      </c>
      <c r="M122" s="7"/>
      <c r="N122" s="7"/>
      <c r="O122" s="7"/>
    </row>
    <row r="123">
      <c r="A123" s="5">
        <v>46.0</v>
      </c>
      <c r="B123" s="15" t="s">
        <v>33</v>
      </c>
      <c r="C123" s="7" t="s">
        <v>16</v>
      </c>
      <c r="D123" s="8">
        <v>46119.0</v>
      </c>
      <c r="E123" s="9">
        <v>0.3125</v>
      </c>
      <c r="F123" s="10">
        <v>22.0</v>
      </c>
      <c r="G123" s="11">
        <v>10.0</v>
      </c>
      <c r="H123" s="10">
        <v>16.0</v>
      </c>
      <c r="I123" s="10">
        <f t="shared" si="10"/>
        <v>48</v>
      </c>
      <c r="J123" s="7" t="s">
        <v>21</v>
      </c>
      <c r="K123" s="7" t="s">
        <v>18</v>
      </c>
      <c r="L123" s="7" t="s">
        <v>19</v>
      </c>
      <c r="M123" s="7"/>
      <c r="N123" s="7"/>
      <c r="O123" s="7"/>
    </row>
    <row r="124">
      <c r="A124" s="12"/>
      <c r="B124" s="12"/>
      <c r="C124" s="7" t="s">
        <v>20</v>
      </c>
      <c r="D124" s="8">
        <v>46119.0</v>
      </c>
      <c r="E124" s="9">
        <v>0.3125</v>
      </c>
      <c r="F124" s="10">
        <v>22.0</v>
      </c>
      <c r="G124" s="11">
        <v>10.0</v>
      </c>
      <c r="H124" s="10">
        <v>12.0</v>
      </c>
      <c r="I124" s="10">
        <f t="shared" si="10"/>
        <v>44</v>
      </c>
      <c r="J124" s="7" t="s">
        <v>17</v>
      </c>
      <c r="K124" s="16" t="s">
        <v>18</v>
      </c>
      <c r="L124" s="7" t="s">
        <v>23</v>
      </c>
      <c r="M124" s="14" t="s">
        <v>34</v>
      </c>
      <c r="N124" s="7" t="s">
        <v>17</v>
      </c>
      <c r="O124" s="10">
        <v>2.0</v>
      </c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>
      <c r="A126" s="4" t="s">
        <v>1</v>
      </c>
      <c r="B126" s="4" t="s">
        <v>2</v>
      </c>
      <c r="C126" s="4" t="s">
        <v>3</v>
      </c>
      <c r="D126" s="4" t="s">
        <v>4</v>
      </c>
      <c r="E126" s="4" t="s">
        <v>5</v>
      </c>
      <c r="F126" s="4" t="s">
        <v>6</v>
      </c>
      <c r="G126" s="4" t="s">
        <v>7</v>
      </c>
      <c r="H126" s="4" t="s">
        <v>8</v>
      </c>
      <c r="I126" s="25" t="s">
        <v>9</v>
      </c>
      <c r="J126" s="4" t="s">
        <v>10</v>
      </c>
      <c r="K126" s="4" t="s">
        <v>11</v>
      </c>
      <c r="L126" s="4" t="s">
        <v>12</v>
      </c>
      <c r="M126" s="4" t="s">
        <v>13</v>
      </c>
      <c r="N126" s="4" t="s">
        <v>10</v>
      </c>
      <c r="O126" s="4" t="s">
        <v>14</v>
      </c>
    </row>
    <row r="127">
      <c r="A127" s="5">
        <v>47.0</v>
      </c>
      <c r="B127" s="6" t="s">
        <v>15</v>
      </c>
      <c r="C127" s="7" t="s">
        <v>16</v>
      </c>
      <c r="D127" s="8">
        <v>46119.0</v>
      </c>
      <c r="E127" s="9">
        <v>0.5208333333333334</v>
      </c>
      <c r="F127" s="10">
        <v>6.0</v>
      </c>
      <c r="G127" s="11">
        <v>10.0</v>
      </c>
      <c r="H127" s="10">
        <v>16.0</v>
      </c>
      <c r="I127" s="10">
        <f t="shared" ref="I127:I136" si="11">F127+G127+H127</f>
        <v>32</v>
      </c>
      <c r="J127" s="7" t="s">
        <v>28</v>
      </c>
      <c r="K127" s="7" t="s">
        <v>18</v>
      </c>
      <c r="L127" s="7" t="s">
        <v>19</v>
      </c>
      <c r="M127" s="7"/>
      <c r="N127" s="7"/>
      <c r="O127" s="7"/>
    </row>
    <row r="128">
      <c r="A128" s="12"/>
      <c r="B128" s="12"/>
      <c r="C128" s="7" t="s">
        <v>20</v>
      </c>
      <c r="D128" s="8">
        <v>46119.0</v>
      </c>
      <c r="E128" s="9">
        <v>0.5208333333333334</v>
      </c>
      <c r="F128" s="10">
        <v>6.0</v>
      </c>
      <c r="G128" s="11">
        <v>10.0</v>
      </c>
      <c r="H128" s="10">
        <v>22.0</v>
      </c>
      <c r="I128" s="10">
        <f t="shared" si="11"/>
        <v>38</v>
      </c>
      <c r="J128" s="7" t="s">
        <v>17</v>
      </c>
      <c r="K128" s="13" t="s">
        <v>22</v>
      </c>
      <c r="L128" s="7" t="s">
        <v>23</v>
      </c>
      <c r="M128" s="26" t="s">
        <v>24</v>
      </c>
      <c r="N128" s="7" t="s">
        <v>17</v>
      </c>
      <c r="O128" s="10">
        <v>2.0</v>
      </c>
    </row>
    <row r="129">
      <c r="A129" s="5">
        <v>48.0</v>
      </c>
      <c r="B129" s="6" t="s">
        <v>25</v>
      </c>
      <c r="C129" s="7" t="s">
        <v>16</v>
      </c>
      <c r="D129" s="8">
        <v>46119.0</v>
      </c>
      <c r="E129" s="9">
        <v>0.5208333333333334</v>
      </c>
      <c r="F129" s="10">
        <v>1.0</v>
      </c>
      <c r="G129" s="11">
        <v>10.0</v>
      </c>
      <c r="H129" s="10">
        <v>12.0</v>
      </c>
      <c r="I129" s="10">
        <f t="shared" si="11"/>
        <v>23</v>
      </c>
      <c r="J129" s="7" t="s">
        <v>28</v>
      </c>
      <c r="K129" s="7" t="s">
        <v>18</v>
      </c>
      <c r="L129" s="7" t="s">
        <v>19</v>
      </c>
      <c r="M129" s="7"/>
      <c r="N129" s="7"/>
      <c r="O129" s="7"/>
    </row>
    <row r="130">
      <c r="A130" s="12"/>
      <c r="B130" s="12"/>
      <c r="C130" s="7" t="s">
        <v>20</v>
      </c>
      <c r="D130" s="8">
        <v>46119.0</v>
      </c>
      <c r="E130" s="9">
        <v>0.5208333333333334</v>
      </c>
      <c r="F130" s="10">
        <v>1.0</v>
      </c>
      <c r="G130" s="11">
        <v>10.0</v>
      </c>
      <c r="H130" s="10">
        <v>26.0</v>
      </c>
      <c r="I130" s="10">
        <f t="shared" si="11"/>
        <v>37</v>
      </c>
      <c r="J130" s="7" t="s">
        <v>21</v>
      </c>
      <c r="K130" s="7" t="s">
        <v>18</v>
      </c>
      <c r="L130" s="7" t="s">
        <v>19</v>
      </c>
      <c r="M130" s="14" t="s">
        <v>26</v>
      </c>
      <c r="N130" s="7" t="s">
        <v>17</v>
      </c>
      <c r="O130" s="10">
        <v>2.0</v>
      </c>
    </row>
    <row r="131">
      <c r="A131" s="5">
        <v>49.0</v>
      </c>
      <c r="B131" s="6" t="s">
        <v>27</v>
      </c>
      <c r="C131" s="7" t="s">
        <v>16</v>
      </c>
      <c r="D131" s="8">
        <v>46119.0</v>
      </c>
      <c r="E131" s="9">
        <v>0.5208333333333334</v>
      </c>
      <c r="F131" s="10">
        <v>7.0</v>
      </c>
      <c r="G131" s="11">
        <v>10.0</v>
      </c>
      <c r="H131" s="10">
        <v>7.0</v>
      </c>
      <c r="I131" s="10">
        <f t="shared" si="11"/>
        <v>24</v>
      </c>
      <c r="J131" s="7" t="s">
        <v>28</v>
      </c>
      <c r="K131" s="13" t="s">
        <v>29</v>
      </c>
      <c r="L131" s="7" t="s">
        <v>19</v>
      </c>
      <c r="M131" s="7"/>
      <c r="N131" s="7"/>
      <c r="O131" s="7"/>
    </row>
    <row r="132">
      <c r="A132" s="12"/>
      <c r="B132" s="12"/>
      <c r="C132" s="7" t="s">
        <v>20</v>
      </c>
      <c r="D132" s="8">
        <v>46119.0</v>
      </c>
      <c r="E132" s="9">
        <v>0.5208333333333334</v>
      </c>
      <c r="F132" s="10">
        <v>7.0</v>
      </c>
      <c r="G132" s="11">
        <v>10.0</v>
      </c>
      <c r="H132" s="10">
        <v>20.0</v>
      </c>
      <c r="I132" s="10">
        <f t="shared" si="11"/>
        <v>37</v>
      </c>
      <c r="J132" s="7" t="s">
        <v>21</v>
      </c>
      <c r="K132" s="7" t="s">
        <v>36</v>
      </c>
      <c r="L132" s="7" t="s">
        <v>19</v>
      </c>
      <c r="M132" s="7"/>
      <c r="N132" s="7"/>
      <c r="O132" s="7"/>
    </row>
    <row r="133">
      <c r="A133" s="5">
        <v>50.0</v>
      </c>
      <c r="B133" s="6" t="s">
        <v>31</v>
      </c>
      <c r="C133" s="7" t="s">
        <v>16</v>
      </c>
      <c r="D133" s="8">
        <v>46119.0</v>
      </c>
      <c r="E133" s="9">
        <v>0.5208333333333334</v>
      </c>
      <c r="F133" s="10">
        <v>12.0</v>
      </c>
      <c r="G133" s="11">
        <v>10.0</v>
      </c>
      <c r="H133" s="10">
        <v>10.0</v>
      </c>
      <c r="I133" s="10">
        <f t="shared" si="11"/>
        <v>32</v>
      </c>
      <c r="J133" s="7" t="s">
        <v>28</v>
      </c>
      <c r="K133" s="20" t="s">
        <v>18</v>
      </c>
      <c r="L133" s="7" t="s">
        <v>19</v>
      </c>
      <c r="M133" s="7"/>
      <c r="N133" s="7"/>
      <c r="O133" s="7"/>
    </row>
    <row r="134">
      <c r="A134" s="12"/>
      <c r="B134" s="12"/>
      <c r="C134" s="7" t="s">
        <v>20</v>
      </c>
      <c r="D134" s="8">
        <v>46119.0</v>
      </c>
      <c r="E134" s="9">
        <v>0.5208333333333334</v>
      </c>
      <c r="F134" s="10">
        <v>12.0</v>
      </c>
      <c r="G134" s="11">
        <v>10.0</v>
      </c>
      <c r="H134" s="10">
        <v>14.0</v>
      </c>
      <c r="I134" s="10">
        <f t="shared" si="11"/>
        <v>36</v>
      </c>
      <c r="J134" s="7" t="s">
        <v>21</v>
      </c>
      <c r="K134" s="7" t="s">
        <v>18</v>
      </c>
      <c r="L134" s="7" t="s">
        <v>19</v>
      </c>
      <c r="M134" s="7"/>
      <c r="N134" s="7"/>
      <c r="O134" s="7"/>
    </row>
    <row r="135">
      <c r="A135" s="5">
        <v>51.0</v>
      </c>
      <c r="B135" s="15" t="s">
        <v>33</v>
      </c>
      <c r="C135" s="7" t="s">
        <v>16</v>
      </c>
      <c r="D135" s="8">
        <v>46119.0</v>
      </c>
      <c r="E135" s="9">
        <v>0.5208333333333334</v>
      </c>
      <c r="F135" s="10">
        <v>16.0</v>
      </c>
      <c r="G135" s="11">
        <v>10.0</v>
      </c>
      <c r="H135" s="10">
        <v>14.0</v>
      </c>
      <c r="I135" s="10">
        <f t="shared" si="11"/>
        <v>40</v>
      </c>
      <c r="J135" s="7" t="s">
        <v>17</v>
      </c>
      <c r="K135" s="7" t="s">
        <v>18</v>
      </c>
      <c r="L135" s="7" t="s">
        <v>19</v>
      </c>
      <c r="M135" s="7"/>
      <c r="N135" s="7"/>
      <c r="O135" s="7"/>
    </row>
    <row r="136">
      <c r="A136" s="12"/>
      <c r="B136" s="12"/>
      <c r="C136" s="7" t="s">
        <v>20</v>
      </c>
      <c r="D136" s="8">
        <v>46119.0</v>
      </c>
      <c r="E136" s="9">
        <v>0.5208333333333334</v>
      </c>
      <c r="F136" s="10">
        <v>16.0</v>
      </c>
      <c r="G136" s="11">
        <v>10.0</v>
      </c>
      <c r="H136" s="10">
        <v>9.0</v>
      </c>
      <c r="I136" s="10">
        <f t="shared" si="11"/>
        <v>35</v>
      </c>
      <c r="J136" s="7" t="s">
        <v>28</v>
      </c>
      <c r="K136" s="16" t="s">
        <v>18</v>
      </c>
      <c r="L136" s="7" t="s">
        <v>19</v>
      </c>
      <c r="M136" s="7"/>
      <c r="N136" s="7"/>
      <c r="O136" s="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>
      <c r="A138" s="4" t="s">
        <v>1</v>
      </c>
      <c r="B138" s="4" t="s">
        <v>2</v>
      </c>
      <c r="C138" s="4" t="s">
        <v>3</v>
      </c>
      <c r="D138" s="4" t="s">
        <v>4</v>
      </c>
      <c r="E138" s="4" t="s">
        <v>5</v>
      </c>
      <c r="F138" s="4" t="s">
        <v>6</v>
      </c>
      <c r="G138" s="4" t="s">
        <v>7</v>
      </c>
      <c r="H138" s="4" t="s">
        <v>8</v>
      </c>
      <c r="I138" s="25" t="s">
        <v>9</v>
      </c>
      <c r="J138" s="4" t="s">
        <v>10</v>
      </c>
      <c r="K138" s="4" t="s">
        <v>11</v>
      </c>
      <c r="L138" s="4" t="s">
        <v>12</v>
      </c>
      <c r="M138" s="4" t="s">
        <v>13</v>
      </c>
      <c r="N138" s="4" t="s">
        <v>10</v>
      </c>
      <c r="O138" s="4" t="s">
        <v>14</v>
      </c>
    </row>
    <row r="139">
      <c r="A139" s="5">
        <v>52.0</v>
      </c>
      <c r="B139" s="6" t="s">
        <v>15</v>
      </c>
      <c r="C139" s="7" t="s">
        <v>16</v>
      </c>
      <c r="D139" s="8">
        <v>46119.0</v>
      </c>
      <c r="E139" s="9">
        <v>0.7708333333333334</v>
      </c>
      <c r="F139" s="10">
        <v>8.0</v>
      </c>
      <c r="G139" s="11">
        <v>10.0</v>
      </c>
      <c r="H139" s="10">
        <v>18.0</v>
      </c>
      <c r="I139" s="10">
        <f t="shared" ref="I139:I148" si="12">F139+G139+H139</f>
        <v>36</v>
      </c>
      <c r="J139" s="7" t="s">
        <v>17</v>
      </c>
      <c r="K139" s="7" t="s">
        <v>18</v>
      </c>
      <c r="L139" s="7" t="s">
        <v>19</v>
      </c>
      <c r="M139" s="7"/>
      <c r="N139" s="7"/>
      <c r="O139" s="7"/>
    </row>
    <row r="140">
      <c r="A140" s="12"/>
      <c r="B140" s="12"/>
      <c r="C140" s="7" t="s">
        <v>20</v>
      </c>
      <c r="D140" s="8">
        <v>46119.0</v>
      </c>
      <c r="E140" s="9">
        <v>0.7708333333333334</v>
      </c>
      <c r="F140" s="10">
        <v>8.0</v>
      </c>
      <c r="G140" s="11">
        <v>10.0</v>
      </c>
      <c r="H140" s="10">
        <v>22.0</v>
      </c>
      <c r="I140" s="10">
        <f t="shared" si="12"/>
        <v>40</v>
      </c>
      <c r="J140" s="7" t="s">
        <v>17</v>
      </c>
      <c r="K140" s="13" t="s">
        <v>22</v>
      </c>
      <c r="L140" s="7" t="s">
        <v>19</v>
      </c>
      <c r="M140" s="14" t="s">
        <v>24</v>
      </c>
      <c r="N140" s="7"/>
      <c r="O140" s="10">
        <v>2.0</v>
      </c>
    </row>
    <row r="141">
      <c r="A141" s="5">
        <v>53.0</v>
      </c>
      <c r="B141" s="6" t="s">
        <v>25</v>
      </c>
      <c r="C141" s="7" t="s">
        <v>16</v>
      </c>
      <c r="D141" s="8">
        <v>46119.0</v>
      </c>
      <c r="E141" s="9">
        <v>0.7708333333333334</v>
      </c>
      <c r="F141" s="10">
        <v>1.0</v>
      </c>
      <c r="G141" s="11">
        <v>10.0</v>
      </c>
      <c r="H141" s="10">
        <v>14.0</v>
      </c>
      <c r="I141" s="10">
        <f t="shared" si="12"/>
        <v>25</v>
      </c>
      <c r="J141" s="7" t="s">
        <v>17</v>
      </c>
      <c r="K141" s="7" t="s">
        <v>18</v>
      </c>
      <c r="L141" s="7" t="s">
        <v>19</v>
      </c>
      <c r="M141" s="7"/>
      <c r="N141" s="7"/>
      <c r="O141" s="7"/>
    </row>
    <row r="142">
      <c r="A142" s="12"/>
      <c r="B142" s="12"/>
      <c r="C142" s="7" t="s">
        <v>20</v>
      </c>
      <c r="D142" s="8">
        <v>46119.0</v>
      </c>
      <c r="E142" s="9">
        <v>0.7708333333333334</v>
      </c>
      <c r="F142" s="10">
        <v>1.0</v>
      </c>
      <c r="G142" s="11">
        <v>10.0</v>
      </c>
      <c r="H142" s="10">
        <v>28.0</v>
      </c>
      <c r="I142" s="10">
        <f t="shared" si="12"/>
        <v>39</v>
      </c>
      <c r="J142" s="7" t="s">
        <v>21</v>
      </c>
      <c r="K142" s="7" t="s">
        <v>18</v>
      </c>
      <c r="L142" s="7" t="s">
        <v>23</v>
      </c>
      <c r="M142" s="14" t="s">
        <v>26</v>
      </c>
      <c r="N142" s="7" t="s">
        <v>17</v>
      </c>
      <c r="O142" s="10">
        <v>4.0</v>
      </c>
    </row>
    <row r="143">
      <c r="A143" s="5">
        <v>54.0</v>
      </c>
      <c r="B143" s="6" t="s">
        <v>27</v>
      </c>
      <c r="C143" s="7" t="s">
        <v>16</v>
      </c>
      <c r="D143" s="8">
        <v>46119.0</v>
      </c>
      <c r="E143" s="9">
        <v>0.7708333333333334</v>
      </c>
      <c r="F143" s="10">
        <v>10.0</v>
      </c>
      <c r="G143" s="11">
        <v>10.0</v>
      </c>
      <c r="H143" s="10">
        <v>8.0</v>
      </c>
      <c r="I143" s="10">
        <f t="shared" si="12"/>
        <v>28</v>
      </c>
      <c r="J143" s="7" t="s">
        <v>28</v>
      </c>
      <c r="K143" s="13" t="s">
        <v>29</v>
      </c>
      <c r="L143" s="7" t="s">
        <v>19</v>
      </c>
      <c r="M143" s="7"/>
      <c r="N143" s="7"/>
      <c r="O143" s="7"/>
    </row>
    <row r="144">
      <c r="A144" s="12"/>
      <c r="B144" s="12"/>
      <c r="C144" s="7" t="s">
        <v>20</v>
      </c>
      <c r="D144" s="8">
        <v>46119.0</v>
      </c>
      <c r="E144" s="9">
        <v>0.7708333333333334</v>
      </c>
      <c r="F144" s="10">
        <v>10.0</v>
      </c>
      <c r="G144" s="11">
        <v>10.0</v>
      </c>
      <c r="H144" s="10">
        <v>20.0</v>
      </c>
      <c r="I144" s="10">
        <f t="shared" si="12"/>
        <v>40</v>
      </c>
      <c r="J144" s="7" t="s">
        <v>21</v>
      </c>
      <c r="K144" s="7" t="s">
        <v>36</v>
      </c>
      <c r="L144" s="7" t="s">
        <v>19</v>
      </c>
      <c r="M144" s="7"/>
      <c r="N144" s="7"/>
      <c r="O144" s="7"/>
    </row>
    <row r="145">
      <c r="A145" s="5">
        <v>55.0</v>
      </c>
      <c r="B145" s="6" t="s">
        <v>31</v>
      </c>
      <c r="C145" s="7" t="s">
        <v>16</v>
      </c>
      <c r="D145" s="8">
        <v>46119.0</v>
      </c>
      <c r="E145" s="9">
        <v>0.7708333333333334</v>
      </c>
      <c r="F145" s="10">
        <v>12.0</v>
      </c>
      <c r="G145" s="11">
        <v>10.0</v>
      </c>
      <c r="H145" s="10">
        <v>14.0</v>
      </c>
      <c r="I145" s="10">
        <f t="shared" si="12"/>
        <v>36</v>
      </c>
      <c r="J145" s="7" t="s">
        <v>17</v>
      </c>
      <c r="K145" s="20" t="s">
        <v>18</v>
      </c>
      <c r="L145" s="7" t="s">
        <v>19</v>
      </c>
      <c r="M145" s="7"/>
      <c r="N145" s="7"/>
      <c r="O145" s="7"/>
    </row>
    <row r="146">
      <c r="A146" s="12"/>
      <c r="B146" s="12"/>
      <c r="C146" s="7" t="s">
        <v>20</v>
      </c>
      <c r="D146" s="8">
        <v>46119.0</v>
      </c>
      <c r="E146" s="9">
        <v>0.7708333333333334</v>
      </c>
      <c r="F146" s="10">
        <v>12.0</v>
      </c>
      <c r="G146" s="11">
        <v>10.0</v>
      </c>
      <c r="H146" s="10">
        <v>14.0</v>
      </c>
      <c r="I146" s="10">
        <f t="shared" si="12"/>
        <v>36</v>
      </c>
      <c r="J146" s="7" t="s">
        <v>17</v>
      </c>
      <c r="K146" s="7" t="s">
        <v>18</v>
      </c>
      <c r="L146" s="7" t="s">
        <v>19</v>
      </c>
      <c r="M146" s="7"/>
      <c r="N146" s="7"/>
      <c r="O146" s="7"/>
    </row>
    <row r="147">
      <c r="A147" s="5">
        <v>56.0</v>
      </c>
      <c r="B147" s="15" t="s">
        <v>33</v>
      </c>
      <c r="C147" s="7" t="s">
        <v>16</v>
      </c>
      <c r="D147" s="8">
        <v>46119.0</v>
      </c>
      <c r="E147" s="9">
        <v>0.7708333333333334</v>
      </c>
      <c r="F147" s="10">
        <v>20.0</v>
      </c>
      <c r="G147" s="11">
        <v>10.0</v>
      </c>
      <c r="H147" s="10">
        <v>14.0</v>
      </c>
      <c r="I147" s="10">
        <f t="shared" si="12"/>
        <v>44</v>
      </c>
      <c r="J147" s="7" t="s">
        <v>21</v>
      </c>
      <c r="K147" s="7" t="s">
        <v>18</v>
      </c>
      <c r="L147" s="7" t="s">
        <v>19</v>
      </c>
      <c r="M147" s="7"/>
      <c r="N147" s="7"/>
      <c r="O147" s="7"/>
    </row>
    <row r="148">
      <c r="A148" s="12"/>
      <c r="B148" s="12"/>
      <c r="C148" s="7" t="s">
        <v>20</v>
      </c>
      <c r="D148" s="8">
        <v>46119.0</v>
      </c>
      <c r="E148" s="9">
        <v>0.7708333333333334</v>
      </c>
      <c r="F148" s="10">
        <v>20.0</v>
      </c>
      <c r="G148" s="11">
        <v>10.0</v>
      </c>
      <c r="H148" s="10">
        <v>9.0</v>
      </c>
      <c r="I148" s="10">
        <f t="shared" si="12"/>
        <v>39</v>
      </c>
      <c r="J148" s="7" t="s">
        <v>28</v>
      </c>
      <c r="K148" s="16" t="s">
        <v>18</v>
      </c>
      <c r="L148" s="7" t="s">
        <v>23</v>
      </c>
      <c r="M148" s="14" t="s">
        <v>34</v>
      </c>
      <c r="N148" s="7" t="s">
        <v>17</v>
      </c>
      <c r="O148" s="10">
        <v>1.0</v>
      </c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>
      <c r="A150" s="24" t="s">
        <v>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</row>
    <row r="151">
      <c r="A151" s="4" t="s">
        <v>1</v>
      </c>
      <c r="B151" s="4" t="s">
        <v>2</v>
      </c>
      <c r="C151" s="4" t="s">
        <v>3</v>
      </c>
      <c r="D151" s="4" t="s">
        <v>4</v>
      </c>
      <c r="E151" s="4" t="s">
        <v>5</v>
      </c>
      <c r="F151" s="4" t="s">
        <v>6</v>
      </c>
      <c r="G151" s="4" t="s">
        <v>7</v>
      </c>
      <c r="H151" s="4" t="s">
        <v>8</v>
      </c>
      <c r="I151" s="25" t="s">
        <v>9</v>
      </c>
      <c r="J151" s="4" t="s">
        <v>10</v>
      </c>
      <c r="K151" s="4" t="s">
        <v>11</v>
      </c>
      <c r="L151" s="4" t="s">
        <v>12</v>
      </c>
      <c r="M151" s="4" t="s">
        <v>13</v>
      </c>
      <c r="N151" s="4" t="s">
        <v>10</v>
      </c>
      <c r="O151" s="4" t="s">
        <v>14</v>
      </c>
    </row>
    <row r="152">
      <c r="A152" s="5">
        <v>57.0</v>
      </c>
      <c r="B152" s="6" t="s">
        <v>15</v>
      </c>
      <c r="C152" s="7" t="s">
        <v>16</v>
      </c>
      <c r="D152" s="8">
        <v>46118.0</v>
      </c>
      <c r="E152" s="9">
        <v>0.3125</v>
      </c>
      <c r="F152" s="10">
        <v>7.0</v>
      </c>
      <c r="G152" s="11">
        <v>10.0</v>
      </c>
      <c r="H152" s="10">
        <v>20.0</v>
      </c>
      <c r="I152" s="10">
        <f t="shared" ref="I152:I161" si="13">F152+G152+H152</f>
        <v>37</v>
      </c>
      <c r="J152" s="7" t="s">
        <v>17</v>
      </c>
      <c r="K152" s="7" t="s">
        <v>18</v>
      </c>
      <c r="L152" s="7" t="s">
        <v>19</v>
      </c>
      <c r="M152" s="7"/>
      <c r="N152" s="7"/>
      <c r="O152" s="7"/>
    </row>
    <row r="153">
      <c r="A153" s="12"/>
      <c r="B153" s="12"/>
      <c r="C153" s="7" t="s">
        <v>20</v>
      </c>
      <c r="D153" s="8">
        <v>46118.0</v>
      </c>
      <c r="E153" s="9">
        <v>0.3125</v>
      </c>
      <c r="F153" s="10">
        <v>7.0</v>
      </c>
      <c r="G153" s="11">
        <v>10.0</v>
      </c>
      <c r="H153" s="10">
        <v>26.0</v>
      </c>
      <c r="I153" s="10">
        <f t="shared" si="13"/>
        <v>43</v>
      </c>
      <c r="J153" s="7" t="s">
        <v>21</v>
      </c>
      <c r="K153" s="13" t="s">
        <v>22</v>
      </c>
      <c r="L153" s="7" t="s">
        <v>23</v>
      </c>
      <c r="M153" s="26" t="s">
        <v>24</v>
      </c>
      <c r="N153" s="7" t="s">
        <v>17</v>
      </c>
      <c r="O153" s="10">
        <v>2.0</v>
      </c>
    </row>
    <row r="154">
      <c r="A154" s="5">
        <v>58.0</v>
      </c>
      <c r="B154" s="6" t="s">
        <v>25</v>
      </c>
      <c r="C154" s="7" t="s">
        <v>16</v>
      </c>
      <c r="D154" s="8">
        <v>46118.0</v>
      </c>
      <c r="E154" s="9">
        <v>0.3125</v>
      </c>
      <c r="F154" s="10">
        <v>1.0</v>
      </c>
      <c r="G154" s="11">
        <v>10.0</v>
      </c>
      <c r="H154" s="10">
        <v>14.0</v>
      </c>
      <c r="I154" s="10">
        <f t="shared" si="13"/>
        <v>25</v>
      </c>
      <c r="J154" s="7" t="s">
        <v>17</v>
      </c>
      <c r="K154" s="7" t="s">
        <v>18</v>
      </c>
      <c r="L154" s="7" t="s">
        <v>19</v>
      </c>
      <c r="M154" s="7"/>
      <c r="N154" s="7"/>
      <c r="O154" s="7"/>
    </row>
    <row r="155">
      <c r="A155" s="12"/>
      <c r="B155" s="12"/>
      <c r="C155" s="7" t="s">
        <v>20</v>
      </c>
      <c r="D155" s="8">
        <v>46118.0</v>
      </c>
      <c r="E155" s="9">
        <v>0.3125</v>
      </c>
      <c r="F155" s="10">
        <v>1.0</v>
      </c>
      <c r="G155" s="11">
        <v>10.0</v>
      </c>
      <c r="H155" s="10">
        <v>30.0</v>
      </c>
      <c r="I155" s="10">
        <f t="shared" si="13"/>
        <v>41</v>
      </c>
      <c r="J155" s="7" t="s">
        <v>21</v>
      </c>
      <c r="K155" s="7" t="s">
        <v>18</v>
      </c>
      <c r="L155" s="7" t="s">
        <v>23</v>
      </c>
      <c r="M155" s="14" t="s">
        <v>26</v>
      </c>
      <c r="N155" s="7" t="s">
        <v>21</v>
      </c>
      <c r="O155" s="10">
        <v>4.0</v>
      </c>
    </row>
    <row r="156">
      <c r="A156" s="5">
        <v>59.0</v>
      </c>
      <c r="B156" s="6" t="s">
        <v>27</v>
      </c>
      <c r="C156" s="7" t="s">
        <v>16</v>
      </c>
      <c r="D156" s="8">
        <v>46118.0</v>
      </c>
      <c r="E156" s="9">
        <v>0.3125</v>
      </c>
      <c r="F156" s="10">
        <v>9.0</v>
      </c>
      <c r="G156" s="11">
        <v>10.0</v>
      </c>
      <c r="H156" s="10">
        <v>8.0</v>
      </c>
      <c r="I156" s="10">
        <f t="shared" si="13"/>
        <v>27</v>
      </c>
      <c r="J156" s="7" t="s">
        <v>28</v>
      </c>
      <c r="K156" s="13" t="s">
        <v>29</v>
      </c>
      <c r="L156" s="7" t="s">
        <v>19</v>
      </c>
      <c r="M156" s="7"/>
      <c r="N156" s="7"/>
      <c r="O156" s="7"/>
    </row>
    <row r="157">
      <c r="A157" s="12"/>
      <c r="B157" s="12"/>
      <c r="C157" s="7" t="s">
        <v>20</v>
      </c>
      <c r="D157" s="8">
        <v>46118.0</v>
      </c>
      <c r="E157" s="9">
        <v>0.3125</v>
      </c>
      <c r="F157" s="10">
        <v>9.0</v>
      </c>
      <c r="G157" s="11">
        <v>10.0</v>
      </c>
      <c r="H157" s="10">
        <v>20.0</v>
      </c>
      <c r="I157" s="10">
        <f t="shared" si="13"/>
        <v>39</v>
      </c>
      <c r="J157" s="7" t="s">
        <v>21</v>
      </c>
      <c r="K157" s="7" t="s">
        <v>36</v>
      </c>
      <c r="L157" s="7" t="s">
        <v>19</v>
      </c>
      <c r="M157" s="7"/>
      <c r="N157" s="7"/>
      <c r="O157" s="7"/>
    </row>
    <row r="158">
      <c r="A158" s="5">
        <v>60.0</v>
      </c>
      <c r="B158" s="6" t="s">
        <v>31</v>
      </c>
      <c r="C158" s="7" t="s">
        <v>16</v>
      </c>
      <c r="D158" s="8">
        <v>46118.0</v>
      </c>
      <c r="E158" s="9">
        <v>0.3125</v>
      </c>
      <c r="F158" s="10">
        <v>14.0</v>
      </c>
      <c r="G158" s="11">
        <v>10.0</v>
      </c>
      <c r="H158" s="10">
        <v>10.0</v>
      </c>
      <c r="I158" s="10">
        <f t="shared" si="13"/>
        <v>34</v>
      </c>
      <c r="J158" s="7" t="s">
        <v>28</v>
      </c>
      <c r="K158" s="20" t="s">
        <v>18</v>
      </c>
      <c r="L158" s="7" t="s">
        <v>19</v>
      </c>
      <c r="M158" s="7"/>
      <c r="N158" s="7"/>
      <c r="O158" s="7"/>
    </row>
    <row r="159">
      <c r="A159" s="12"/>
      <c r="B159" s="12"/>
      <c r="C159" s="7" t="s">
        <v>20</v>
      </c>
      <c r="D159" s="8">
        <v>46118.0</v>
      </c>
      <c r="E159" s="9">
        <v>0.3125</v>
      </c>
      <c r="F159" s="10">
        <v>14.0</v>
      </c>
      <c r="G159" s="11">
        <v>10.0</v>
      </c>
      <c r="H159" s="10">
        <v>18.0</v>
      </c>
      <c r="I159" s="10">
        <f t="shared" si="13"/>
        <v>42</v>
      </c>
      <c r="J159" s="7" t="s">
        <v>21</v>
      </c>
      <c r="K159" s="7" t="s">
        <v>18</v>
      </c>
      <c r="L159" s="7" t="s">
        <v>23</v>
      </c>
      <c r="M159" s="20" t="s">
        <v>45</v>
      </c>
      <c r="N159" s="7" t="s">
        <v>21</v>
      </c>
      <c r="O159" s="10">
        <v>2.0</v>
      </c>
    </row>
    <row r="160">
      <c r="A160" s="5">
        <v>61.0</v>
      </c>
      <c r="B160" s="15" t="s">
        <v>33</v>
      </c>
      <c r="C160" s="7" t="s">
        <v>16</v>
      </c>
      <c r="D160" s="8">
        <v>46118.0</v>
      </c>
      <c r="E160" s="9">
        <v>0.3125</v>
      </c>
      <c r="F160" s="10">
        <v>20.0</v>
      </c>
      <c r="G160" s="11">
        <v>10.0</v>
      </c>
      <c r="H160" s="10">
        <v>16.0</v>
      </c>
      <c r="I160" s="10">
        <f t="shared" si="13"/>
        <v>46</v>
      </c>
      <c r="J160" s="7" t="s">
        <v>21</v>
      </c>
      <c r="K160" s="7" t="s">
        <v>18</v>
      </c>
      <c r="L160" s="7" t="s">
        <v>19</v>
      </c>
      <c r="M160" s="7"/>
      <c r="N160" s="7"/>
      <c r="O160" s="7"/>
    </row>
    <row r="161">
      <c r="A161" s="12"/>
      <c r="B161" s="12"/>
      <c r="C161" s="7" t="s">
        <v>20</v>
      </c>
      <c r="D161" s="8">
        <v>46118.0</v>
      </c>
      <c r="E161" s="9">
        <v>0.3125</v>
      </c>
      <c r="F161" s="10">
        <v>20.0</v>
      </c>
      <c r="G161" s="11">
        <v>10.0</v>
      </c>
      <c r="H161" s="10">
        <v>10.0</v>
      </c>
      <c r="I161" s="10">
        <f t="shared" si="13"/>
        <v>40</v>
      </c>
      <c r="J161" s="7" t="s">
        <v>17</v>
      </c>
      <c r="K161" s="16" t="s">
        <v>18</v>
      </c>
      <c r="L161" s="7" t="s">
        <v>19</v>
      </c>
      <c r="M161" s="7"/>
      <c r="N161" s="7"/>
      <c r="O161" s="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>
      <c r="A163" s="4" t="s">
        <v>1</v>
      </c>
      <c r="B163" s="4" t="s">
        <v>2</v>
      </c>
      <c r="C163" s="4" t="s">
        <v>3</v>
      </c>
      <c r="D163" s="4" t="s">
        <v>4</v>
      </c>
      <c r="E163" s="4" t="s">
        <v>5</v>
      </c>
      <c r="F163" s="4" t="s">
        <v>6</v>
      </c>
      <c r="G163" s="4" t="s">
        <v>7</v>
      </c>
      <c r="H163" s="4" t="s">
        <v>8</v>
      </c>
      <c r="I163" s="25" t="s">
        <v>9</v>
      </c>
      <c r="J163" s="4" t="s">
        <v>10</v>
      </c>
      <c r="K163" s="4" t="s">
        <v>11</v>
      </c>
      <c r="L163" s="4" t="s">
        <v>12</v>
      </c>
      <c r="M163" s="4" t="s">
        <v>13</v>
      </c>
      <c r="N163" s="4" t="s">
        <v>10</v>
      </c>
      <c r="O163" s="4" t="s">
        <v>14</v>
      </c>
    </row>
    <row r="164">
      <c r="A164" s="5">
        <v>62.0</v>
      </c>
      <c r="B164" s="6" t="s">
        <v>15</v>
      </c>
      <c r="C164" s="7" t="s">
        <v>16</v>
      </c>
      <c r="D164" s="8">
        <v>46118.0</v>
      </c>
      <c r="E164" s="9">
        <v>0.5208333333333334</v>
      </c>
      <c r="F164" s="10">
        <v>6.0</v>
      </c>
      <c r="G164" s="11">
        <v>10.0</v>
      </c>
      <c r="H164" s="10">
        <v>16.0</v>
      </c>
      <c r="I164" s="10">
        <f t="shared" ref="I164:I173" si="14">F164+G164+H164</f>
        <v>32</v>
      </c>
      <c r="J164" s="7" t="s">
        <v>28</v>
      </c>
      <c r="K164" s="7" t="s">
        <v>18</v>
      </c>
      <c r="L164" s="7" t="s">
        <v>19</v>
      </c>
      <c r="M164" s="7"/>
      <c r="N164" s="7"/>
      <c r="O164" s="7"/>
    </row>
    <row r="165">
      <c r="A165" s="12"/>
      <c r="B165" s="12"/>
      <c r="C165" s="7" t="s">
        <v>20</v>
      </c>
      <c r="D165" s="8">
        <v>46118.0</v>
      </c>
      <c r="E165" s="9">
        <v>0.5208333333333334</v>
      </c>
      <c r="F165" s="10">
        <v>6.0</v>
      </c>
      <c r="G165" s="11">
        <v>10.0</v>
      </c>
      <c r="H165" s="10">
        <v>22.0</v>
      </c>
      <c r="I165" s="10">
        <f t="shared" si="14"/>
        <v>38</v>
      </c>
      <c r="J165" s="7" t="s">
        <v>17</v>
      </c>
      <c r="K165" s="13" t="s">
        <v>22</v>
      </c>
      <c r="L165" s="7" t="s">
        <v>23</v>
      </c>
      <c r="M165" s="26" t="s">
        <v>24</v>
      </c>
      <c r="N165" s="7" t="s">
        <v>17</v>
      </c>
      <c r="O165" s="14">
        <v>2.0</v>
      </c>
    </row>
    <row r="166">
      <c r="A166" s="5">
        <v>63.0</v>
      </c>
      <c r="B166" s="6" t="s">
        <v>25</v>
      </c>
      <c r="C166" s="7" t="s">
        <v>16</v>
      </c>
      <c r="D166" s="8">
        <v>46118.0</v>
      </c>
      <c r="E166" s="9">
        <v>0.5208333333333334</v>
      </c>
      <c r="F166" s="10">
        <v>1.0</v>
      </c>
      <c r="G166" s="11">
        <v>10.0</v>
      </c>
      <c r="H166" s="10">
        <v>12.0</v>
      </c>
      <c r="I166" s="10">
        <f t="shared" si="14"/>
        <v>23</v>
      </c>
      <c r="J166" s="7" t="s">
        <v>28</v>
      </c>
      <c r="K166" s="7" t="s">
        <v>18</v>
      </c>
      <c r="L166" s="7" t="s">
        <v>19</v>
      </c>
      <c r="M166" s="7"/>
      <c r="N166" s="7"/>
      <c r="O166" s="7"/>
    </row>
    <row r="167">
      <c r="A167" s="12"/>
      <c r="B167" s="12"/>
      <c r="C167" s="7" t="s">
        <v>20</v>
      </c>
      <c r="D167" s="8">
        <v>46118.0</v>
      </c>
      <c r="E167" s="9">
        <v>0.5208333333333334</v>
      </c>
      <c r="F167" s="10">
        <v>1.0</v>
      </c>
      <c r="G167" s="11">
        <v>10.0</v>
      </c>
      <c r="H167" s="10">
        <v>26.0</v>
      </c>
      <c r="I167" s="10">
        <f t="shared" si="14"/>
        <v>37</v>
      </c>
      <c r="J167" s="7" t="s">
        <v>21</v>
      </c>
      <c r="K167" s="7" t="s">
        <v>18</v>
      </c>
      <c r="L167" s="7" t="s">
        <v>23</v>
      </c>
      <c r="M167" s="14" t="s">
        <v>50</v>
      </c>
      <c r="N167" s="7"/>
      <c r="O167" s="10">
        <v>2.0</v>
      </c>
    </row>
    <row r="168">
      <c r="A168" s="5">
        <v>64.0</v>
      </c>
      <c r="B168" s="6" t="s">
        <v>27</v>
      </c>
      <c r="C168" s="7" t="s">
        <v>16</v>
      </c>
      <c r="D168" s="8">
        <v>46118.0</v>
      </c>
      <c r="E168" s="9">
        <v>0.5208333333333334</v>
      </c>
      <c r="F168" s="10">
        <v>6.0</v>
      </c>
      <c r="G168" s="11">
        <v>10.0</v>
      </c>
      <c r="H168" s="10">
        <v>7.0</v>
      </c>
      <c r="I168" s="10">
        <f t="shared" si="14"/>
        <v>23</v>
      </c>
      <c r="J168" s="7" t="s">
        <v>28</v>
      </c>
      <c r="K168" s="13" t="s">
        <v>29</v>
      </c>
      <c r="L168" s="7" t="s">
        <v>19</v>
      </c>
      <c r="M168" s="7"/>
      <c r="N168" s="7"/>
      <c r="O168" s="7"/>
    </row>
    <row r="169">
      <c r="A169" s="12"/>
      <c r="B169" s="12"/>
      <c r="C169" s="7" t="s">
        <v>20</v>
      </c>
      <c r="D169" s="8">
        <v>46118.0</v>
      </c>
      <c r="E169" s="9">
        <v>0.5208333333333334</v>
      </c>
      <c r="F169" s="10">
        <v>6.0</v>
      </c>
      <c r="G169" s="11">
        <v>10.0</v>
      </c>
      <c r="H169" s="10">
        <v>20.0</v>
      </c>
      <c r="I169" s="10">
        <f t="shared" si="14"/>
        <v>36</v>
      </c>
      <c r="J169" s="7" t="s">
        <v>21</v>
      </c>
      <c r="K169" s="7" t="s">
        <v>36</v>
      </c>
      <c r="L169" s="7" t="s">
        <v>19</v>
      </c>
      <c r="M169" s="7"/>
      <c r="N169" s="7"/>
      <c r="O169" s="7"/>
    </row>
    <row r="170">
      <c r="A170" s="5">
        <v>65.0</v>
      </c>
      <c r="B170" s="6" t="s">
        <v>31</v>
      </c>
      <c r="C170" s="7" t="s">
        <v>16</v>
      </c>
      <c r="D170" s="8">
        <v>46118.0</v>
      </c>
      <c r="E170" s="9">
        <v>0.5208333333333334</v>
      </c>
      <c r="F170" s="10">
        <v>10.0</v>
      </c>
      <c r="G170" s="11">
        <v>10.0</v>
      </c>
      <c r="H170" s="10">
        <v>10.0</v>
      </c>
      <c r="I170" s="10">
        <f t="shared" si="14"/>
        <v>30</v>
      </c>
      <c r="J170" s="7" t="s">
        <v>28</v>
      </c>
      <c r="K170" s="20" t="s">
        <v>18</v>
      </c>
      <c r="L170" s="7" t="s">
        <v>19</v>
      </c>
      <c r="M170" s="7"/>
      <c r="N170" s="7"/>
      <c r="O170" s="7"/>
    </row>
    <row r="171">
      <c r="A171" s="12"/>
      <c r="B171" s="12"/>
      <c r="C171" s="7" t="s">
        <v>20</v>
      </c>
      <c r="D171" s="8">
        <v>46118.0</v>
      </c>
      <c r="E171" s="9">
        <v>0.5208333333333334</v>
      </c>
      <c r="F171" s="10">
        <v>10.0</v>
      </c>
      <c r="G171" s="11">
        <v>10.0</v>
      </c>
      <c r="H171" s="10">
        <v>14.0</v>
      </c>
      <c r="I171" s="10">
        <f t="shared" si="14"/>
        <v>34</v>
      </c>
      <c r="J171" s="7" t="s">
        <v>17</v>
      </c>
      <c r="K171" s="7" t="s">
        <v>18</v>
      </c>
      <c r="L171" s="7" t="s">
        <v>19</v>
      </c>
      <c r="M171" s="7"/>
      <c r="N171" s="7"/>
      <c r="O171" s="7"/>
    </row>
    <row r="172">
      <c r="A172" s="5">
        <v>66.0</v>
      </c>
      <c r="B172" s="15" t="s">
        <v>33</v>
      </c>
      <c r="C172" s="7" t="s">
        <v>16</v>
      </c>
      <c r="D172" s="8">
        <v>46118.0</v>
      </c>
      <c r="E172" s="9">
        <v>0.5208333333333334</v>
      </c>
      <c r="F172" s="10">
        <v>16.0</v>
      </c>
      <c r="G172" s="11">
        <v>10.0</v>
      </c>
      <c r="H172" s="10">
        <v>12.0</v>
      </c>
      <c r="I172" s="10">
        <f t="shared" si="14"/>
        <v>38</v>
      </c>
      <c r="J172" s="7" t="s">
        <v>17</v>
      </c>
      <c r="K172" s="7" t="s">
        <v>18</v>
      </c>
      <c r="L172" s="7" t="s">
        <v>19</v>
      </c>
      <c r="M172" s="7"/>
      <c r="N172" s="7"/>
      <c r="O172" s="7"/>
    </row>
    <row r="173">
      <c r="A173" s="12"/>
      <c r="B173" s="12"/>
      <c r="C173" s="7" t="s">
        <v>20</v>
      </c>
      <c r="D173" s="8">
        <v>46118.0</v>
      </c>
      <c r="E173" s="9">
        <v>0.5208333333333334</v>
      </c>
      <c r="F173" s="10">
        <v>16.0</v>
      </c>
      <c r="G173" s="11">
        <v>10.0</v>
      </c>
      <c r="H173" s="10">
        <v>9.0</v>
      </c>
      <c r="I173" s="10">
        <f t="shared" si="14"/>
        <v>35</v>
      </c>
      <c r="J173" s="7" t="s">
        <v>28</v>
      </c>
      <c r="K173" s="16" t="s">
        <v>18</v>
      </c>
      <c r="L173" s="7" t="s">
        <v>19</v>
      </c>
      <c r="M173" s="7"/>
      <c r="N173" s="7"/>
      <c r="O173" s="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>
      <c r="A175" s="4" t="s">
        <v>1</v>
      </c>
      <c r="B175" s="4" t="s">
        <v>2</v>
      </c>
      <c r="C175" s="4" t="s">
        <v>3</v>
      </c>
      <c r="D175" s="4" t="s">
        <v>4</v>
      </c>
      <c r="E175" s="4" t="s">
        <v>5</v>
      </c>
      <c r="F175" s="4" t="s">
        <v>6</v>
      </c>
      <c r="G175" s="4" t="s">
        <v>7</v>
      </c>
      <c r="H175" s="4" t="s">
        <v>8</v>
      </c>
      <c r="I175" s="25" t="s">
        <v>9</v>
      </c>
      <c r="J175" s="4" t="s">
        <v>10</v>
      </c>
      <c r="K175" s="4" t="s">
        <v>11</v>
      </c>
      <c r="L175" s="4" t="s">
        <v>12</v>
      </c>
      <c r="M175" s="4" t="s">
        <v>13</v>
      </c>
      <c r="N175" s="4" t="s">
        <v>10</v>
      </c>
      <c r="O175" s="4" t="s">
        <v>14</v>
      </c>
    </row>
    <row r="176">
      <c r="A176" s="5">
        <v>67.0</v>
      </c>
      <c r="B176" s="6" t="s">
        <v>15</v>
      </c>
      <c r="C176" s="7" t="s">
        <v>16</v>
      </c>
      <c r="D176" s="8">
        <v>46118.0</v>
      </c>
      <c r="E176" s="9">
        <v>0.7708333333333334</v>
      </c>
      <c r="F176" s="10">
        <v>7.0</v>
      </c>
      <c r="G176" s="11">
        <v>10.0</v>
      </c>
      <c r="H176" s="10">
        <v>18.0</v>
      </c>
      <c r="I176" s="10">
        <f t="shared" ref="I176:I185" si="15">F176+G176+H176</f>
        <v>35</v>
      </c>
      <c r="J176" s="7" t="s">
        <v>28</v>
      </c>
      <c r="K176" s="7" t="s">
        <v>18</v>
      </c>
      <c r="L176" s="7" t="s">
        <v>19</v>
      </c>
      <c r="M176" s="7"/>
      <c r="N176" s="7"/>
      <c r="O176" s="7"/>
    </row>
    <row r="177">
      <c r="A177" s="12"/>
      <c r="B177" s="12"/>
      <c r="C177" s="7" t="s">
        <v>20</v>
      </c>
      <c r="D177" s="8">
        <v>46118.0</v>
      </c>
      <c r="E177" s="9">
        <v>0.7708333333333334</v>
      </c>
      <c r="F177" s="10">
        <v>7.0</v>
      </c>
      <c r="G177" s="11">
        <v>10.0</v>
      </c>
      <c r="H177" s="10">
        <v>22.0</v>
      </c>
      <c r="I177" s="10">
        <f t="shared" si="15"/>
        <v>39</v>
      </c>
      <c r="J177" s="7" t="s">
        <v>17</v>
      </c>
      <c r="K177" s="13" t="s">
        <v>22</v>
      </c>
      <c r="L177" s="7" t="s">
        <v>23</v>
      </c>
      <c r="M177" s="14" t="s">
        <v>24</v>
      </c>
      <c r="N177" s="7" t="s">
        <v>17</v>
      </c>
      <c r="O177" s="10">
        <v>2.0</v>
      </c>
    </row>
    <row r="178">
      <c r="A178" s="5">
        <v>68.0</v>
      </c>
      <c r="B178" s="6" t="s">
        <v>25</v>
      </c>
      <c r="C178" s="7" t="s">
        <v>16</v>
      </c>
      <c r="D178" s="8">
        <v>46118.0</v>
      </c>
      <c r="E178" s="9">
        <v>0.7708333333333334</v>
      </c>
      <c r="F178" s="10">
        <v>1.0</v>
      </c>
      <c r="G178" s="11">
        <v>10.0</v>
      </c>
      <c r="H178" s="10">
        <v>12.0</v>
      </c>
      <c r="I178" s="10">
        <f t="shared" si="15"/>
        <v>23</v>
      </c>
      <c r="J178" s="7" t="s">
        <v>28</v>
      </c>
      <c r="K178" s="7" t="s">
        <v>18</v>
      </c>
      <c r="L178" s="7" t="s">
        <v>19</v>
      </c>
      <c r="M178" s="7"/>
      <c r="N178" s="7"/>
      <c r="O178" s="7"/>
    </row>
    <row r="179">
      <c r="A179" s="12"/>
      <c r="B179" s="12"/>
      <c r="C179" s="7" t="s">
        <v>20</v>
      </c>
      <c r="D179" s="8">
        <v>46118.0</v>
      </c>
      <c r="E179" s="9">
        <v>0.7708333333333334</v>
      </c>
      <c r="F179" s="10">
        <v>1.0</v>
      </c>
      <c r="G179" s="11">
        <v>10.0</v>
      </c>
      <c r="H179" s="10">
        <v>28.0</v>
      </c>
      <c r="I179" s="10">
        <f t="shared" si="15"/>
        <v>39</v>
      </c>
      <c r="J179" s="7" t="s">
        <v>21</v>
      </c>
      <c r="K179" s="7" t="s">
        <v>18</v>
      </c>
      <c r="L179" s="7" t="s">
        <v>23</v>
      </c>
      <c r="M179" s="14" t="s">
        <v>26</v>
      </c>
      <c r="N179" s="7" t="s">
        <v>17</v>
      </c>
      <c r="O179" s="10">
        <v>4.0</v>
      </c>
    </row>
    <row r="180">
      <c r="A180" s="5">
        <v>69.0</v>
      </c>
      <c r="B180" s="6" t="s">
        <v>27</v>
      </c>
      <c r="C180" s="7" t="s">
        <v>16</v>
      </c>
      <c r="D180" s="8">
        <v>46118.0</v>
      </c>
      <c r="E180" s="9">
        <v>0.7708333333333334</v>
      </c>
      <c r="F180" s="10">
        <v>9.0</v>
      </c>
      <c r="G180" s="11">
        <v>10.0</v>
      </c>
      <c r="H180" s="10">
        <v>8.0</v>
      </c>
      <c r="I180" s="10">
        <f t="shared" si="15"/>
        <v>27</v>
      </c>
      <c r="J180" s="7" t="s">
        <v>28</v>
      </c>
      <c r="K180" s="13" t="s">
        <v>29</v>
      </c>
      <c r="L180" s="7" t="s">
        <v>19</v>
      </c>
      <c r="M180" s="7"/>
      <c r="N180" s="7"/>
      <c r="O180" s="7"/>
    </row>
    <row r="181">
      <c r="A181" s="12"/>
      <c r="B181" s="12"/>
      <c r="C181" s="7" t="s">
        <v>20</v>
      </c>
      <c r="D181" s="8">
        <v>46118.0</v>
      </c>
      <c r="E181" s="9">
        <v>0.7708333333333334</v>
      </c>
      <c r="F181" s="10">
        <v>9.0</v>
      </c>
      <c r="G181" s="11">
        <v>10.0</v>
      </c>
      <c r="H181" s="10">
        <v>20.0</v>
      </c>
      <c r="I181" s="10">
        <f t="shared" si="15"/>
        <v>39</v>
      </c>
      <c r="J181" s="7" t="s">
        <v>21</v>
      </c>
      <c r="K181" s="7" t="s">
        <v>36</v>
      </c>
      <c r="L181" s="7" t="s">
        <v>19</v>
      </c>
      <c r="M181" s="7"/>
      <c r="N181" s="7"/>
      <c r="O181" s="7"/>
    </row>
    <row r="182">
      <c r="A182" s="5">
        <v>70.0</v>
      </c>
      <c r="B182" s="6" t="s">
        <v>31</v>
      </c>
      <c r="C182" s="7" t="s">
        <v>16</v>
      </c>
      <c r="D182" s="8">
        <v>46118.0</v>
      </c>
      <c r="E182" s="9">
        <v>0.7708333333333334</v>
      </c>
      <c r="F182" s="10">
        <v>12.0</v>
      </c>
      <c r="G182" s="11">
        <v>10.0</v>
      </c>
      <c r="H182" s="10">
        <v>12.0</v>
      </c>
      <c r="I182" s="10">
        <f t="shared" si="15"/>
        <v>34</v>
      </c>
      <c r="J182" s="7" t="s">
        <v>17</v>
      </c>
      <c r="K182" s="20" t="s">
        <v>18</v>
      </c>
      <c r="L182" s="7" t="s">
        <v>19</v>
      </c>
      <c r="M182" s="7"/>
      <c r="N182" s="7"/>
      <c r="O182" s="7"/>
    </row>
    <row r="183">
      <c r="A183" s="12"/>
      <c r="B183" s="12"/>
      <c r="C183" s="7" t="s">
        <v>20</v>
      </c>
      <c r="D183" s="8">
        <v>46118.0</v>
      </c>
      <c r="E183" s="9">
        <v>0.7708333333333334</v>
      </c>
      <c r="F183" s="10">
        <v>12.0</v>
      </c>
      <c r="G183" s="11">
        <v>10.0</v>
      </c>
      <c r="H183" s="10">
        <v>14.0</v>
      </c>
      <c r="I183" s="10">
        <f t="shared" si="15"/>
        <v>36</v>
      </c>
      <c r="J183" s="7" t="s">
        <v>17</v>
      </c>
      <c r="K183" s="7" t="s">
        <v>18</v>
      </c>
      <c r="L183" s="7" t="s">
        <v>23</v>
      </c>
      <c r="M183" s="26" t="s">
        <v>45</v>
      </c>
      <c r="N183" s="7" t="s">
        <v>17</v>
      </c>
      <c r="O183" s="10">
        <v>2.0</v>
      </c>
    </row>
    <row r="184">
      <c r="A184" s="5">
        <v>71.0</v>
      </c>
      <c r="B184" s="15" t="s">
        <v>33</v>
      </c>
      <c r="C184" s="7" t="s">
        <v>16</v>
      </c>
      <c r="D184" s="8">
        <v>46118.0</v>
      </c>
      <c r="E184" s="9">
        <v>0.7708333333333334</v>
      </c>
      <c r="F184" s="10">
        <v>18.0</v>
      </c>
      <c r="G184" s="11">
        <v>10.0</v>
      </c>
      <c r="H184" s="10">
        <v>14.0</v>
      </c>
      <c r="I184" s="10">
        <f t="shared" si="15"/>
        <v>42</v>
      </c>
      <c r="J184" s="7" t="s">
        <v>17</v>
      </c>
      <c r="K184" s="7" t="s">
        <v>18</v>
      </c>
      <c r="L184" s="7" t="s">
        <v>19</v>
      </c>
      <c r="M184" s="7"/>
      <c r="N184" s="7"/>
      <c r="O184" s="7"/>
    </row>
    <row r="185">
      <c r="A185" s="12"/>
      <c r="B185" s="12"/>
      <c r="C185" s="7" t="s">
        <v>20</v>
      </c>
      <c r="D185" s="8">
        <v>46118.0</v>
      </c>
      <c r="E185" s="9">
        <v>0.7708333333333334</v>
      </c>
      <c r="F185" s="10">
        <v>18.0</v>
      </c>
      <c r="G185" s="11">
        <v>10.0</v>
      </c>
      <c r="H185" s="10">
        <v>9.0</v>
      </c>
      <c r="I185" s="10">
        <f t="shared" si="15"/>
        <v>37</v>
      </c>
      <c r="J185" s="7" t="s">
        <v>28</v>
      </c>
      <c r="K185" s="16" t="s">
        <v>18</v>
      </c>
      <c r="L185" s="7" t="s">
        <v>23</v>
      </c>
      <c r="M185" s="14" t="s">
        <v>34</v>
      </c>
      <c r="N185" s="7" t="s">
        <v>28</v>
      </c>
      <c r="O185" s="10">
        <v>1.0</v>
      </c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>
      <c r="A187" s="24" t="s">
        <v>51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</row>
    <row r="188">
      <c r="A188" s="4" t="s">
        <v>1</v>
      </c>
      <c r="B188" s="4" t="s">
        <v>2</v>
      </c>
      <c r="C188" s="4" t="s">
        <v>3</v>
      </c>
      <c r="D188" s="4" t="s">
        <v>4</v>
      </c>
      <c r="E188" s="4" t="s">
        <v>5</v>
      </c>
      <c r="F188" s="4" t="s">
        <v>6</v>
      </c>
      <c r="G188" s="4" t="s">
        <v>7</v>
      </c>
      <c r="H188" s="4" t="s">
        <v>8</v>
      </c>
      <c r="I188" s="25" t="s">
        <v>9</v>
      </c>
      <c r="J188" s="4" t="s">
        <v>10</v>
      </c>
      <c r="K188" s="4" t="s">
        <v>11</v>
      </c>
      <c r="L188" s="4" t="s">
        <v>12</v>
      </c>
      <c r="M188" s="4" t="s">
        <v>13</v>
      </c>
      <c r="N188" s="4" t="s">
        <v>10</v>
      </c>
      <c r="O188" s="4" t="s">
        <v>14</v>
      </c>
    </row>
    <row r="189">
      <c r="A189" s="5">
        <v>72.0</v>
      </c>
      <c r="B189" s="6" t="s">
        <v>15</v>
      </c>
      <c r="C189" s="7" t="s">
        <v>16</v>
      </c>
      <c r="D189" s="8">
        <v>46117.0</v>
      </c>
      <c r="E189" s="9">
        <v>0.3125</v>
      </c>
      <c r="F189" s="10">
        <v>4.0</v>
      </c>
      <c r="G189" s="11">
        <v>10.0</v>
      </c>
      <c r="H189" s="10">
        <v>14.0</v>
      </c>
      <c r="I189" s="10">
        <f t="shared" ref="I189:I198" si="16">F189+G189+H189</f>
        <v>28</v>
      </c>
      <c r="J189" s="7" t="s">
        <v>28</v>
      </c>
      <c r="K189" s="7" t="s">
        <v>18</v>
      </c>
      <c r="L189" s="7" t="s">
        <v>19</v>
      </c>
      <c r="M189" s="7"/>
      <c r="N189" s="7"/>
      <c r="O189" s="7"/>
    </row>
    <row r="190">
      <c r="A190" s="12"/>
      <c r="B190" s="12"/>
      <c r="C190" s="7" t="s">
        <v>20</v>
      </c>
      <c r="D190" s="8">
        <v>46117.0</v>
      </c>
      <c r="E190" s="9">
        <v>0.3125</v>
      </c>
      <c r="F190" s="10">
        <v>4.0</v>
      </c>
      <c r="G190" s="11">
        <v>10.0</v>
      </c>
      <c r="H190" s="10">
        <v>18.0</v>
      </c>
      <c r="I190" s="10">
        <f t="shared" si="16"/>
        <v>32</v>
      </c>
      <c r="J190" s="7" t="s">
        <v>28</v>
      </c>
      <c r="K190" s="13" t="s">
        <v>22</v>
      </c>
      <c r="L190" s="7" t="s">
        <v>23</v>
      </c>
      <c r="M190" s="14" t="s">
        <v>24</v>
      </c>
      <c r="N190" s="7" t="s">
        <v>28</v>
      </c>
      <c r="O190" s="10">
        <v>2.0</v>
      </c>
    </row>
    <row r="191">
      <c r="A191" s="5">
        <v>73.0</v>
      </c>
      <c r="B191" s="6" t="s">
        <v>25</v>
      </c>
      <c r="C191" s="7" t="s">
        <v>16</v>
      </c>
      <c r="D191" s="8">
        <v>46117.0</v>
      </c>
      <c r="E191" s="9">
        <v>0.3125</v>
      </c>
      <c r="F191" s="10">
        <v>1.0</v>
      </c>
      <c r="G191" s="11">
        <v>10.0</v>
      </c>
      <c r="H191" s="10">
        <v>10.0</v>
      </c>
      <c r="I191" s="10">
        <f t="shared" si="16"/>
        <v>21</v>
      </c>
      <c r="J191" s="7" t="s">
        <v>28</v>
      </c>
      <c r="K191" s="7" t="s">
        <v>18</v>
      </c>
      <c r="L191" s="7" t="s">
        <v>19</v>
      </c>
      <c r="M191" s="7"/>
      <c r="N191" s="7"/>
      <c r="O191" s="7"/>
    </row>
    <row r="192">
      <c r="A192" s="12"/>
      <c r="B192" s="12"/>
      <c r="C192" s="7" t="s">
        <v>20</v>
      </c>
      <c r="D192" s="8">
        <v>46117.0</v>
      </c>
      <c r="E192" s="9">
        <v>0.3125</v>
      </c>
      <c r="F192" s="10">
        <v>1.0</v>
      </c>
      <c r="G192" s="11">
        <v>10.0</v>
      </c>
      <c r="H192" s="10">
        <v>18.0</v>
      </c>
      <c r="I192" s="10">
        <f t="shared" si="16"/>
        <v>29</v>
      </c>
      <c r="J192" s="7" t="s">
        <v>28</v>
      </c>
      <c r="K192" s="7" t="s">
        <v>18</v>
      </c>
      <c r="L192" s="7" t="s">
        <v>23</v>
      </c>
      <c r="M192" s="26" t="s">
        <v>26</v>
      </c>
      <c r="N192" s="7" t="s">
        <v>28</v>
      </c>
      <c r="O192" s="10">
        <v>2.0</v>
      </c>
    </row>
    <row r="193">
      <c r="A193" s="5">
        <v>74.0</v>
      </c>
      <c r="B193" s="6" t="s">
        <v>27</v>
      </c>
      <c r="C193" s="7" t="s">
        <v>16</v>
      </c>
      <c r="D193" s="8">
        <v>46117.0</v>
      </c>
      <c r="E193" s="9">
        <v>0.3125</v>
      </c>
      <c r="F193" s="10">
        <v>4.0</v>
      </c>
      <c r="G193" s="11">
        <v>10.0</v>
      </c>
      <c r="H193" s="10">
        <v>7.0</v>
      </c>
      <c r="I193" s="10">
        <f t="shared" si="16"/>
        <v>21</v>
      </c>
      <c r="J193" s="7" t="s">
        <v>28</v>
      </c>
      <c r="K193" s="13" t="s">
        <v>29</v>
      </c>
      <c r="L193" s="7" t="s">
        <v>19</v>
      </c>
      <c r="M193" s="7"/>
      <c r="N193" s="7"/>
      <c r="O193" s="7"/>
    </row>
    <row r="194">
      <c r="A194" s="12"/>
      <c r="B194" s="12"/>
      <c r="C194" s="7" t="s">
        <v>20</v>
      </c>
      <c r="D194" s="8">
        <v>46117.0</v>
      </c>
      <c r="E194" s="9">
        <v>0.3125</v>
      </c>
      <c r="F194" s="10">
        <v>4.0</v>
      </c>
      <c r="G194" s="11">
        <v>10.0</v>
      </c>
      <c r="H194" s="10">
        <v>14.0</v>
      </c>
      <c r="I194" s="10">
        <f t="shared" si="16"/>
        <v>28</v>
      </c>
      <c r="J194" s="7" t="s">
        <v>28</v>
      </c>
      <c r="K194" s="7" t="s">
        <v>36</v>
      </c>
      <c r="L194" s="7" t="s">
        <v>19</v>
      </c>
      <c r="M194" s="7"/>
      <c r="N194" s="7"/>
      <c r="O194" s="7"/>
    </row>
    <row r="195">
      <c r="A195" s="5">
        <v>75.0</v>
      </c>
      <c r="B195" s="6" t="s">
        <v>31</v>
      </c>
      <c r="C195" s="7" t="s">
        <v>16</v>
      </c>
      <c r="D195" s="8">
        <v>46117.0</v>
      </c>
      <c r="E195" s="9">
        <v>0.3125</v>
      </c>
      <c r="F195" s="10">
        <v>9.0</v>
      </c>
      <c r="G195" s="11">
        <v>10.0</v>
      </c>
      <c r="H195" s="10">
        <v>8.0</v>
      </c>
      <c r="I195" s="10">
        <f t="shared" si="16"/>
        <v>27</v>
      </c>
      <c r="J195" s="7" t="s">
        <v>28</v>
      </c>
      <c r="K195" s="20" t="s">
        <v>18</v>
      </c>
      <c r="L195" s="7" t="s">
        <v>19</v>
      </c>
      <c r="M195" s="7"/>
      <c r="N195" s="7"/>
      <c r="O195" s="7"/>
    </row>
    <row r="196">
      <c r="A196" s="12"/>
      <c r="B196" s="12"/>
      <c r="C196" s="7" t="s">
        <v>20</v>
      </c>
      <c r="D196" s="8">
        <v>46117.0</v>
      </c>
      <c r="E196" s="9">
        <v>0.3125</v>
      </c>
      <c r="F196" s="10">
        <v>9.0</v>
      </c>
      <c r="G196" s="11">
        <v>10.0</v>
      </c>
      <c r="H196" s="10">
        <v>9.0</v>
      </c>
      <c r="I196" s="10">
        <f t="shared" si="16"/>
        <v>28</v>
      </c>
      <c r="J196" s="7" t="s">
        <v>28</v>
      </c>
      <c r="K196" s="7" t="s">
        <v>18</v>
      </c>
      <c r="L196" s="7" t="s">
        <v>19</v>
      </c>
      <c r="M196" s="7"/>
      <c r="N196" s="7"/>
      <c r="O196" s="7"/>
    </row>
    <row r="197">
      <c r="A197" s="5">
        <v>76.0</v>
      </c>
      <c r="B197" s="15" t="s">
        <v>33</v>
      </c>
      <c r="C197" s="7" t="s">
        <v>16</v>
      </c>
      <c r="D197" s="8">
        <v>46117.0</v>
      </c>
      <c r="E197" s="9">
        <v>0.3125</v>
      </c>
      <c r="F197" s="10">
        <v>12.0</v>
      </c>
      <c r="G197" s="11">
        <v>10.0</v>
      </c>
      <c r="H197" s="10">
        <v>9.0</v>
      </c>
      <c r="I197" s="10">
        <f t="shared" si="16"/>
        <v>31</v>
      </c>
      <c r="J197" s="7" t="s">
        <v>28</v>
      </c>
      <c r="K197" s="7" t="s">
        <v>18</v>
      </c>
      <c r="L197" s="7" t="s">
        <v>19</v>
      </c>
      <c r="M197" s="7"/>
      <c r="N197" s="7"/>
      <c r="O197" s="7"/>
    </row>
    <row r="198">
      <c r="A198" s="12"/>
      <c r="B198" s="12"/>
      <c r="C198" s="7" t="s">
        <v>20</v>
      </c>
      <c r="D198" s="8">
        <v>46117.0</v>
      </c>
      <c r="E198" s="9">
        <v>0.3125</v>
      </c>
      <c r="F198" s="10">
        <v>12.0</v>
      </c>
      <c r="G198" s="11">
        <v>10.0</v>
      </c>
      <c r="H198" s="10">
        <v>7.0</v>
      </c>
      <c r="I198" s="10">
        <f t="shared" si="16"/>
        <v>29</v>
      </c>
      <c r="J198" s="7" t="s">
        <v>28</v>
      </c>
      <c r="K198" s="16" t="s">
        <v>18</v>
      </c>
      <c r="L198" s="7" t="s">
        <v>19</v>
      </c>
      <c r="M198" s="7"/>
      <c r="N198" s="7"/>
      <c r="O198" s="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>
      <c r="A200" s="4" t="s">
        <v>1</v>
      </c>
      <c r="B200" s="4" t="s">
        <v>2</v>
      </c>
      <c r="C200" s="4" t="s">
        <v>3</v>
      </c>
      <c r="D200" s="4" t="s">
        <v>4</v>
      </c>
      <c r="E200" s="4" t="s">
        <v>5</v>
      </c>
      <c r="F200" s="4" t="s">
        <v>6</v>
      </c>
      <c r="G200" s="4" t="s">
        <v>7</v>
      </c>
      <c r="H200" s="4" t="s">
        <v>8</v>
      </c>
      <c r="I200" s="25" t="s">
        <v>9</v>
      </c>
      <c r="J200" s="4" t="s">
        <v>10</v>
      </c>
      <c r="K200" s="4" t="s">
        <v>11</v>
      </c>
      <c r="L200" s="4" t="s">
        <v>12</v>
      </c>
      <c r="M200" s="4" t="s">
        <v>13</v>
      </c>
      <c r="N200" s="4" t="s">
        <v>10</v>
      </c>
      <c r="O200" s="4" t="s">
        <v>14</v>
      </c>
    </row>
    <row r="201">
      <c r="A201" s="5">
        <v>77.0</v>
      </c>
      <c r="B201" s="6" t="s">
        <v>15</v>
      </c>
      <c r="C201" s="7" t="s">
        <v>16</v>
      </c>
      <c r="D201" s="8">
        <v>46117.0</v>
      </c>
      <c r="E201" s="9">
        <v>0.5208333333333334</v>
      </c>
      <c r="F201" s="10">
        <v>4.0</v>
      </c>
      <c r="G201" s="11">
        <v>10.0</v>
      </c>
      <c r="H201" s="10">
        <v>14.0</v>
      </c>
      <c r="I201" s="10">
        <f t="shared" ref="I201:I210" si="17">F201+G201+H201</f>
        <v>28</v>
      </c>
      <c r="J201" s="7" t="s">
        <v>28</v>
      </c>
      <c r="K201" s="7" t="s">
        <v>18</v>
      </c>
      <c r="L201" s="7" t="s">
        <v>19</v>
      </c>
      <c r="M201" s="7"/>
      <c r="N201" s="7"/>
      <c r="O201" s="7"/>
    </row>
    <row r="202">
      <c r="A202" s="12"/>
      <c r="B202" s="12"/>
      <c r="C202" s="7" t="s">
        <v>20</v>
      </c>
      <c r="D202" s="8">
        <v>46117.0</v>
      </c>
      <c r="E202" s="9">
        <v>0.5208333333333334</v>
      </c>
      <c r="F202" s="10">
        <v>4.0</v>
      </c>
      <c r="G202" s="11">
        <v>10.0</v>
      </c>
      <c r="H202" s="10">
        <v>18.0</v>
      </c>
      <c r="I202" s="10">
        <f t="shared" si="17"/>
        <v>32</v>
      </c>
      <c r="J202" s="7" t="s">
        <v>28</v>
      </c>
      <c r="K202" s="13" t="s">
        <v>22</v>
      </c>
      <c r="L202" s="7" t="s">
        <v>23</v>
      </c>
      <c r="M202" s="26" t="s">
        <v>24</v>
      </c>
      <c r="N202" s="7" t="s">
        <v>28</v>
      </c>
      <c r="O202" s="10">
        <v>2.0</v>
      </c>
    </row>
    <row r="203">
      <c r="A203" s="5">
        <v>78.0</v>
      </c>
      <c r="B203" s="6" t="s">
        <v>25</v>
      </c>
      <c r="C203" s="7" t="s">
        <v>16</v>
      </c>
      <c r="D203" s="8">
        <v>46117.0</v>
      </c>
      <c r="E203" s="9">
        <v>0.5208333333333334</v>
      </c>
      <c r="F203" s="10">
        <v>1.0</v>
      </c>
      <c r="G203" s="11">
        <v>10.0</v>
      </c>
      <c r="H203" s="10">
        <v>10.0</v>
      </c>
      <c r="I203" s="10">
        <f t="shared" si="17"/>
        <v>21</v>
      </c>
      <c r="J203" s="7" t="s">
        <v>28</v>
      </c>
      <c r="K203" s="7" t="s">
        <v>18</v>
      </c>
      <c r="L203" s="7" t="s">
        <v>19</v>
      </c>
      <c r="M203" s="7"/>
      <c r="N203" s="7"/>
      <c r="O203" s="7"/>
    </row>
    <row r="204">
      <c r="A204" s="12"/>
      <c r="B204" s="12"/>
      <c r="C204" s="7" t="s">
        <v>20</v>
      </c>
      <c r="D204" s="8">
        <v>46117.0</v>
      </c>
      <c r="E204" s="9">
        <v>0.5208333333333334</v>
      </c>
      <c r="F204" s="10">
        <v>1.0</v>
      </c>
      <c r="G204" s="11">
        <v>10.0</v>
      </c>
      <c r="H204" s="10">
        <v>18.0</v>
      </c>
      <c r="I204" s="10">
        <f t="shared" si="17"/>
        <v>29</v>
      </c>
      <c r="J204" s="7" t="s">
        <v>28</v>
      </c>
      <c r="K204" s="7" t="s">
        <v>18</v>
      </c>
      <c r="L204" s="7" t="s">
        <v>19</v>
      </c>
      <c r="M204" s="7"/>
      <c r="N204" s="7"/>
      <c r="O204" s="7"/>
    </row>
    <row r="205">
      <c r="A205" s="5">
        <v>79.0</v>
      </c>
      <c r="B205" s="6" t="s">
        <v>27</v>
      </c>
      <c r="C205" s="7" t="s">
        <v>16</v>
      </c>
      <c r="D205" s="8">
        <v>46117.0</v>
      </c>
      <c r="E205" s="9">
        <v>0.5208333333333334</v>
      </c>
      <c r="F205" s="10">
        <v>4.0</v>
      </c>
      <c r="G205" s="11">
        <v>10.0</v>
      </c>
      <c r="H205" s="10">
        <v>7.0</v>
      </c>
      <c r="I205" s="10">
        <f t="shared" si="17"/>
        <v>21</v>
      </c>
      <c r="J205" s="7" t="s">
        <v>28</v>
      </c>
      <c r="K205" s="13" t="s">
        <v>29</v>
      </c>
      <c r="L205" s="7" t="s">
        <v>19</v>
      </c>
      <c r="M205" s="7"/>
      <c r="N205" s="7"/>
      <c r="O205" s="7"/>
    </row>
    <row r="206">
      <c r="A206" s="12"/>
      <c r="B206" s="12"/>
      <c r="C206" s="7" t="s">
        <v>20</v>
      </c>
      <c r="D206" s="8">
        <v>46117.0</v>
      </c>
      <c r="E206" s="9">
        <v>0.5208333333333334</v>
      </c>
      <c r="F206" s="10">
        <v>4.0</v>
      </c>
      <c r="G206" s="11">
        <v>10.0</v>
      </c>
      <c r="H206" s="10">
        <v>14.0</v>
      </c>
      <c r="I206" s="10">
        <f t="shared" si="17"/>
        <v>28</v>
      </c>
      <c r="J206" s="7" t="s">
        <v>28</v>
      </c>
      <c r="K206" s="7" t="s">
        <v>36</v>
      </c>
      <c r="L206" s="7" t="s">
        <v>19</v>
      </c>
      <c r="M206" s="7"/>
      <c r="N206" s="7"/>
      <c r="O206" s="7"/>
    </row>
    <row r="207">
      <c r="A207" s="5">
        <v>80.0</v>
      </c>
      <c r="B207" s="6" t="s">
        <v>31</v>
      </c>
      <c r="C207" s="7" t="s">
        <v>16</v>
      </c>
      <c r="D207" s="8">
        <v>46117.0</v>
      </c>
      <c r="E207" s="9">
        <v>0.5208333333333334</v>
      </c>
      <c r="F207" s="10">
        <v>9.0</v>
      </c>
      <c r="G207" s="11">
        <v>10.0</v>
      </c>
      <c r="H207" s="10">
        <v>8.0</v>
      </c>
      <c r="I207" s="10">
        <f t="shared" si="17"/>
        <v>27</v>
      </c>
      <c r="J207" s="7" t="s">
        <v>28</v>
      </c>
      <c r="K207" s="20" t="s">
        <v>18</v>
      </c>
      <c r="L207" s="7" t="s">
        <v>19</v>
      </c>
      <c r="M207" s="7"/>
      <c r="N207" s="7"/>
      <c r="O207" s="7"/>
    </row>
    <row r="208">
      <c r="A208" s="12"/>
      <c r="B208" s="12"/>
      <c r="C208" s="7" t="s">
        <v>20</v>
      </c>
      <c r="D208" s="8">
        <v>46117.0</v>
      </c>
      <c r="E208" s="9">
        <v>0.5208333333333334</v>
      </c>
      <c r="F208" s="10">
        <v>9.0</v>
      </c>
      <c r="G208" s="11">
        <v>10.0</v>
      </c>
      <c r="H208" s="10">
        <v>10.0</v>
      </c>
      <c r="I208" s="10">
        <f t="shared" si="17"/>
        <v>29</v>
      </c>
      <c r="J208" s="7" t="s">
        <v>28</v>
      </c>
      <c r="K208" s="7" t="s">
        <v>18</v>
      </c>
      <c r="L208" s="7" t="s">
        <v>19</v>
      </c>
      <c r="M208" s="7"/>
      <c r="N208" s="7"/>
      <c r="O208" s="7"/>
    </row>
    <row r="209">
      <c r="A209" s="5">
        <v>81.0</v>
      </c>
      <c r="B209" s="15" t="s">
        <v>33</v>
      </c>
      <c r="C209" s="7" t="s">
        <v>16</v>
      </c>
      <c r="D209" s="8">
        <v>46117.0</v>
      </c>
      <c r="E209" s="9">
        <v>0.5208333333333334</v>
      </c>
      <c r="F209" s="10">
        <v>12.0</v>
      </c>
      <c r="G209" s="11">
        <v>10.0</v>
      </c>
      <c r="H209" s="10">
        <v>9.0</v>
      </c>
      <c r="I209" s="10">
        <f t="shared" si="17"/>
        <v>31</v>
      </c>
      <c r="J209" s="7" t="s">
        <v>28</v>
      </c>
      <c r="K209" s="7" t="s">
        <v>18</v>
      </c>
      <c r="L209" s="7" t="s">
        <v>19</v>
      </c>
      <c r="M209" s="7"/>
      <c r="N209" s="7"/>
      <c r="O209" s="7"/>
    </row>
    <row r="210">
      <c r="A210" s="12"/>
      <c r="B210" s="12"/>
      <c r="C210" s="7" t="s">
        <v>20</v>
      </c>
      <c r="D210" s="8">
        <v>46117.0</v>
      </c>
      <c r="E210" s="9">
        <v>0.5208333333333334</v>
      </c>
      <c r="F210" s="10">
        <v>12.0</v>
      </c>
      <c r="G210" s="11">
        <v>10.0</v>
      </c>
      <c r="H210" s="10">
        <v>8.0</v>
      </c>
      <c r="I210" s="10">
        <f t="shared" si="17"/>
        <v>30</v>
      </c>
      <c r="J210" s="7" t="s">
        <v>28</v>
      </c>
      <c r="K210" s="16" t="s">
        <v>18</v>
      </c>
      <c r="L210" s="7" t="s">
        <v>23</v>
      </c>
      <c r="M210" s="14" t="s">
        <v>34</v>
      </c>
      <c r="N210" s="7" t="s">
        <v>28</v>
      </c>
      <c r="O210" s="10">
        <v>1.0</v>
      </c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>
      <c r="A212" s="4" t="s">
        <v>1</v>
      </c>
      <c r="B212" s="4" t="s">
        <v>2</v>
      </c>
      <c r="C212" s="4" t="s">
        <v>3</v>
      </c>
      <c r="D212" s="4" t="s">
        <v>4</v>
      </c>
      <c r="E212" s="4" t="s">
        <v>5</v>
      </c>
      <c r="F212" s="4" t="s">
        <v>6</v>
      </c>
      <c r="G212" s="4" t="s">
        <v>7</v>
      </c>
      <c r="H212" s="4" t="s">
        <v>8</v>
      </c>
      <c r="I212" s="25" t="s">
        <v>9</v>
      </c>
      <c r="J212" s="4" t="s">
        <v>10</v>
      </c>
      <c r="K212" s="4" t="s">
        <v>11</v>
      </c>
      <c r="L212" s="4" t="s">
        <v>12</v>
      </c>
      <c r="M212" s="4" t="s">
        <v>13</v>
      </c>
      <c r="N212" s="4" t="s">
        <v>10</v>
      </c>
      <c r="O212" s="4" t="s">
        <v>14</v>
      </c>
    </row>
    <row r="213">
      <c r="A213" s="5">
        <v>82.0</v>
      </c>
      <c r="B213" s="6" t="s">
        <v>15</v>
      </c>
      <c r="C213" s="7" t="s">
        <v>16</v>
      </c>
      <c r="D213" s="8">
        <v>46117.0</v>
      </c>
      <c r="E213" s="9">
        <v>0.7708333333333334</v>
      </c>
      <c r="F213" s="10">
        <v>4.0</v>
      </c>
      <c r="G213" s="11">
        <v>10.0</v>
      </c>
      <c r="H213" s="10">
        <v>16.0</v>
      </c>
      <c r="I213" s="10">
        <f t="shared" ref="I213:I222" si="18">F213+G213+H213</f>
        <v>30</v>
      </c>
      <c r="J213" s="7" t="s">
        <v>28</v>
      </c>
      <c r="K213" s="7" t="s">
        <v>18</v>
      </c>
      <c r="L213" s="7" t="s">
        <v>19</v>
      </c>
      <c r="M213" s="7"/>
      <c r="N213" s="7"/>
      <c r="O213" s="7"/>
    </row>
    <row r="214">
      <c r="A214" s="12"/>
      <c r="B214" s="12"/>
      <c r="C214" s="7" t="s">
        <v>20</v>
      </c>
      <c r="D214" s="8">
        <v>46117.0</v>
      </c>
      <c r="E214" s="9">
        <v>0.7708333333333334</v>
      </c>
      <c r="F214" s="10">
        <v>4.0</v>
      </c>
      <c r="G214" s="11">
        <v>10.0</v>
      </c>
      <c r="H214" s="10">
        <v>18.0</v>
      </c>
      <c r="I214" s="10">
        <f t="shared" si="18"/>
        <v>32</v>
      </c>
      <c r="J214" s="7" t="s">
        <v>28</v>
      </c>
      <c r="K214" s="13" t="s">
        <v>22</v>
      </c>
      <c r="L214" s="7" t="s">
        <v>19</v>
      </c>
      <c r="M214" s="7"/>
      <c r="N214" s="7"/>
      <c r="O214" s="7"/>
    </row>
    <row r="215">
      <c r="A215" s="5">
        <v>83.0</v>
      </c>
      <c r="B215" s="6" t="s">
        <v>25</v>
      </c>
      <c r="C215" s="7" t="s">
        <v>16</v>
      </c>
      <c r="D215" s="8">
        <v>46117.0</v>
      </c>
      <c r="E215" s="9">
        <v>0.7708333333333334</v>
      </c>
      <c r="F215" s="10">
        <v>1.0</v>
      </c>
      <c r="G215" s="11">
        <v>10.0</v>
      </c>
      <c r="H215" s="10">
        <v>12.0</v>
      </c>
      <c r="I215" s="10">
        <f t="shared" si="18"/>
        <v>23</v>
      </c>
      <c r="J215" s="7" t="s">
        <v>28</v>
      </c>
      <c r="K215" s="7" t="s">
        <v>18</v>
      </c>
      <c r="L215" s="7" t="s">
        <v>19</v>
      </c>
      <c r="M215" s="7"/>
      <c r="N215" s="7"/>
      <c r="O215" s="7"/>
    </row>
    <row r="216">
      <c r="A216" s="12"/>
      <c r="B216" s="12"/>
      <c r="C216" s="7" t="s">
        <v>20</v>
      </c>
      <c r="D216" s="8">
        <v>46117.0</v>
      </c>
      <c r="E216" s="9">
        <v>0.7708333333333334</v>
      </c>
      <c r="F216" s="10">
        <v>1.0</v>
      </c>
      <c r="G216" s="11">
        <v>10.0</v>
      </c>
      <c r="H216" s="10">
        <v>20.0</v>
      </c>
      <c r="I216" s="10">
        <f t="shared" si="18"/>
        <v>31</v>
      </c>
      <c r="J216" s="7" t="s">
        <v>17</v>
      </c>
      <c r="K216" s="7" t="s">
        <v>18</v>
      </c>
      <c r="L216" s="7" t="s">
        <v>19</v>
      </c>
      <c r="M216" s="7"/>
      <c r="N216" s="7"/>
      <c r="O216" s="7"/>
    </row>
    <row r="217">
      <c r="A217" s="5">
        <v>84.0</v>
      </c>
      <c r="B217" s="6" t="s">
        <v>27</v>
      </c>
      <c r="C217" s="7" t="s">
        <v>16</v>
      </c>
      <c r="D217" s="8">
        <v>46117.0</v>
      </c>
      <c r="E217" s="9">
        <v>0.7708333333333334</v>
      </c>
      <c r="F217" s="10">
        <v>4.0</v>
      </c>
      <c r="G217" s="11">
        <v>10.0</v>
      </c>
      <c r="H217" s="10">
        <v>7.0</v>
      </c>
      <c r="I217" s="10">
        <f t="shared" si="18"/>
        <v>21</v>
      </c>
      <c r="J217" s="7" t="s">
        <v>28</v>
      </c>
      <c r="K217" s="13" t="s">
        <v>29</v>
      </c>
      <c r="L217" s="7" t="s">
        <v>19</v>
      </c>
      <c r="M217" s="7"/>
      <c r="N217" s="7"/>
      <c r="O217" s="7"/>
    </row>
    <row r="218">
      <c r="A218" s="12"/>
      <c r="B218" s="12"/>
      <c r="C218" s="7" t="s">
        <v>20</v>
      </c>
      <c r="D218" s="8">
        <v>46117.0</v>
      </c>
      <c r="E218" s="9">
        <v>0.7708333333333334</v>
      </c>
      <c r="F218" s="10">
        <v>4.0</v>
      </c>
      <c r="G218" s="11">
        <v>10.0</v>
      </c>
      <c r="H218" s="10">
        <v>16.0</v>
      </c>
      <c r="I218" s="10">
        <f t="shared" si="18"/>
        <v>30</v>
      </c>
      <c r="J218" s="7" t="s">
        <v>17</v>
      </c>
      <c r="K218" s="7" t="s">
        <v>36</v>
      </c>
      <c r="L218" s="7" t="s">
        <v>19</v>
      </c>
      <c r="M218" s="7"/>
      <c r="N218" s="7"/>
      <c r="O218" s="7"/>
    </row>
    <row r="219">
      <c r="A219" s="5">
        <v>85.0</v>
      </c>
      <c r="B219" s="6" t="s">
        <v>31</v>
      </c>
      <c r="C219" s="7" t="s">
        <v>16</v>
      </c>
      <c r="D219" s="8">
        <v>46117.0</v>
      </c>
      <c r="E219" s="9">
        <v>0.7708333333333334</v>
      </c>
      <c r="F219" s="10">
        <v>10.0</v>
      </c>
      <c r="G219" s="11">
        <v>10.0</v>
      </c>
      <c r="H219" s="10">
        <v>9.0</v>
      </c>
      <c r="I219" s="10">
        <f t="shared" si="18"/>
        <v>29</v>
      </c>
      <c r="J219" s="7" t="s">
        <v>28</v>
      </c>
      <c r="K219" s="20" t="s">
        <v>18</v>
      </c>
      <c r="L219" s="7" t="s">
        <v>19</v>
      </c>
      <c r="M219" s="7"/>
      <c r="N219" s="7"/>
      <c r="O219" s="7"/>
    </row>
    <row r="220">
      <c r="A220" s="12"/>
      <c r="B220" s="12"/>
      <c r="C220" s="7" t="s">
        <v>20</v>
      </c>
      <c r="D220" s="8">
        <v>46117.0</v>
      </c>
      <c r="E220" s="9">
        <v>0.7708333333333334</v>
      </c>
      <c r="F220" s="10">
        <v>10.0</v>
      </c>
      <c r="G220" s="11">
        <v>10.0</v>
      </c>
      <c r="H220" s="10">
        <v>12.0</v>
      </c>
      <c r="I220" s="10">
        <f t="shared" si="18"/>
        <v>32</v>
      </c>
      <c r="J220" s="7" t="s">
        <v>17</v>
      </c>
      <c r="K220" s="7" t="s">
        <v>18</v>
      </c>
      <c r="L220" s="7" t="s">
        <v>19</v>
      </c>
      <c r="M220" s="7"/>
      <c r="N220" s="7"/>
      <c r="O220" s="7"/>
    </row>
    <row r="221">
      <c r="A221" s="5">
        <v>86.0</v>
      </c>
      <c r="B221" s="15" t="s">
        <v>33</v>
      </c>
      <c r="C221" s="7" t="s">
        <v>16</v>
      </c>
      <c r="D221" s="8">
        <v>46117.0</v>
      </c>
      <c r="E221" s="9">
        <v>0.7708333333333334</v>
      </c>
      <c r="F221" s="10">
        <v>14.0</v>
      </c>
      <c r="G221" s="11">
        <v>10.0</v>
      </c>
      <c r="H221" s="10">
        <v>12.0</v>
      </c>
      <c r="I221" s="10">
        <f t="shared" si="18"/>
        <v>36</v>
      </c>
      <c r="J221" s="7" t="s">
        <v>28</v>
      </c>
      <c r="K221" s="7" t="s">
        <v>18</v>
      </c>
      <c r="L221" s="7" t="s">
        <v>19</v>
      </c>
      <c r="M221" s="7"/>
      <c r="N221" s="7"/>
      <c r="O221" s="7"/>
    </row>
    <row r="222">
      <c r="A222" s="12"/>
      <c r="B222" s="12"/>
      <c r="C222" s="7" t="s">
        <v>20</v>
      </c>
      <c r="D222" s="8">
        <v>46117.0</v>
      </c>
      <c r="E222" s="9">
        <v>0.7708333333333334</v>
      </c>
      <c r="F222" s="10">
        <v>14.0</v>
      </c>
      <c r="G222" s="11">
        <v>10.0</v>
      </c>
      <c r="H222" s="10">
        <v>8.0</v>
      </c>
      <c r="I222" s="10">
        <f t="shared" si="18"/>
        <v>32</v>
      </c>
      <c r="J222" s="7" t="s">
        <v>28</v>
      </c>
      <c r="K222" s="16" t="s">
        <v>18</v>
      </c>
      <c r="L222" s="7" t="s">
        <v>19</v>
      </c>
      <c r="M222" s="7"/>
      <c r="N222" s="7"/>
      <c r="O222" s="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>
      <c r="A224" s="24" t="s">
        <v>52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</row>
    <row r="225">
      <c r="A225" s="4" t="s">
        <v>1</v>
      </c>
      <c r="B225" s="4" t="s">
        <v>2</v>
      </c>
      <c r="C225" s="4" t="s">
        <v>3</v>
      </c>
      <c r="D225" s="4" t="s">
        <v>4</v>
      </c>
      <c r="E225" s="4" t="s">
        <v>5</v>
      </c>
      <c r="F225" s="4" t="s">
        <v>6</v>
      </c>
      <c r="G225" s="4" t="s">
        <v>7</v>
      </c>
      <c r="H225" s="4" t="s">
        <v>8</v>
      </c>
      <c r="I225" s="25" t="s">
        <v>9</v>
      </c>
      <c r="J225" s="4" t="s">
        <v>10</v>
      </c>
      <c r="K225" s="4" t="s">
        <v>11</v>
      </c>
      <c r="L225" s="4" t="s">
        <v>12</v>
      </c>
      <c r="M225" s="4" t="s">
        <v>13</v>
      </c>
      <c r="N225" s="4" t="s">
        <v>10</v>
      </c>
      <c r="O225" s="4" t="s">
        <v>14</v>
      </c>
    </row>
    <row r="226">
      <c r="A226" s="5">
        <v>87.0</v>
      </c>
      <c r="B226" s="6" t="s">
        <v>15</v>
      </c>
      <c r="C226" s="7" t="s">
        <v>16</v>
      </c>
      <c r="D226" s="8">
        <v>46116.0</v>
      </c>
      <c r="E226" s="9">
        <v>0.3125</v>
      </c>
      <c r="F226" s="10">
        <v>4.0</v>
      </c>
      <c r="G226" s="11">
        <v>10.0</v>
      </c>
      <c r="H226" s="10">
        <v>14.0</v>
      </c>
      <c r="I226" s="10">
        <f t="shared" ref="I226:I235" si="19">F226+G226+H226</f>
        <v>28</v>
      </c>
      <c r="J226" s="7" t="s">
        <v>28</v>
      </c>
      <c r="K226" s="7" t="s">
        <v>18</v>
      </c>
      <c r="L226" s="7" t="s">
        <v>19</v>
      </c>
      <c r="M226" s="7"/>
      <c r="N226" s="7"/>
      <c r="O226" s="7"/>
    </row>
    <row r="227">
      <c r="A227" s="12"/>
      <c r="B227" s="12"/>
      <c r="C227" s="7" t="s">
        <v>20</v>
      </c>
      <c r="D227" s="8">
        <v>46116.0</v>
      </c>
      <c r="E227" s="9">
        <v>0.3125</v>
      </c>
      <c r="F227" s="10">
        <v>4.0</v>
      </c>
      <c r="G227" s="11">
        <v>10.0</v>
      </c>
      <c r="H227" s="10">
        <v>20.0</v>
      </c>
      <c r="I227" s="10">
        <f t="shared" si="19"/>
        <v>34</v>
      </c>
      <c r="J227" s="7" t="s">
        <v>28</v>
      </c>
      <c r="K227" s="13" t="s">
        <v>22</v>
      </c>
      <c r="L227" s="7" t="s">
        <v>23</v>
      </c>
      <c r="M227" s="26" t="s">
        <v>24</v>
      </c>
      <c r="N227" s="7" t="s">
        <v>28</v>
      </c>
      <c r="O227" s="10">
        <v>2.0</v>
      </c>
    </row>
    <row r="228">
      <c r="A228" s="5">
        <v>88.0</v>
      </c>
      <c r="B228" s="6" t="s">
        <v>25</v>
      </c>
      <c r="C228" s="7" t="s">
        <v>16</v>
      </c>
      <c r="D228" s="8">
        <v>46116.0</v>
      </c>
      <c r="E228" s="9">
        <v>0.3125</v>
      </c>
      <c r="F228" s="10">
        <v>1.0</v>
      </c>
      <c r="G228" s="11">
        <v>10.0</v>
      </c>
      <c r="H228" s="10">
        <v>12.0</v>
      </c>
      <c r="I228" s="10">
        <f t="shared" si="19"/>
        <v>23</v>
      </c>
      <c r="J228" s="7" t="s">
        <v>28</v>
      </c>
      <c r="K228" s="7" t="s">
        <v>18</v>
      </c>
      <c r="L228" s="7" t="s">
        <v>19</v>
      </c>
      <c r="M228" s="7"/>
      <c r="N228" s="7"/>
      <c r="O228" s="7"/>
    </row>
    <row r="229">
      <c r="A229" s="12"/>
      <c r="B229" s="12"/>
      <c r="C229" s="7" t="s">
        <v>20</v>
      </c>
      <c r="D229" s="8">
        <v>46116.0</v>
      </c>
      <c r="E229" s="9">
        <v>0.3125</v>
      </c>
      <c r="F229" s="10">
        <v>1.0</v>
      </c>
      <c r="G229" s="11">
        <v>10.0</v>
      </c>
      <c r="H229" s="10">
        <v>20.0</v>
      </c>
      <c r="I229" s="10">
        <f t="shared" si="19"/>
        <v>31</v>
      </c>
      <c r="J229" s="7" t="s">
        <v>28</v>
      </c>
      <c r="K229" s="7" t="s">
        <v>18</v>
      </c>
      <c r="L229" s="7" t="s">
        <v>19</v>
      </c>
      <c r="M229" s="7"/>
      <c r="N229" s="7"/>
      <c r="O229" s="7"/>
    </row>
    <row r="230">
      <c r="A230" s="5">
        <v>89.0</v>
      </c>
      <c r="B230" s="6" t="s">
        <v>27</v>
      </c>
      <c r="C230" s="7" t="s">
        <v>16</v>
      </c>
      <c r="D230" s="8">
        <v>46116.0</v>
      </c>
      <c r="E230" s="9">
        <v>0.3125</v>
      </c>
      <c r="F230" s="10">
        <v>4.0</v>
      </c>
      <c r="G230" s="11">
        <v>10.0</v>
      </c>
      <c r="H230" s="10">
        <v>7.0</v>
      </c>
      <c r="I230" s="10">
        <f t="shared" si="19"/>
        <v>21</v>
      </c>
      <c r="J230" s="7" t="s">
        <v>28</v>
      </c>
      <c r="K230" s="13" t="s">
        <v>29</v>
      </c>
      <c r="L230" s="7" t="s">
        <v>19</v>
      </c>
      <c r="M230" s="7"/>
      <c r="N230" s="7"/>
      <c r="O230" s="7"/>
    </row>
    <row r="231">
      <c r="A231" s="12"/>
      <c r="B231" s="12"/>
      <c r="C231" s="7" t="s">
        <v>20</v>
      </c>
      <c r="D231" s="8">
        <v>46116.0</v>
      </c>
      <c r="E231" s="9">
        <v>0.3125</v>
      </c>
      <c r="F231" s="10">
        <v>4.0</v>
      </c>
      <c r="G231" s="11">
        <v>10.0</v>
      </c>
      <c r="H231" s="10">
        <v>16.0</v>
      </c>
      <c r="I231" s="10">
        <f t="shared" si="19"/>
        <v>30</v>
      </c>
      <c r="J231" s="7" t="s">
        <v>17</v>
      </c>
      <c r="K231" s="7" t="s">
        <v>36</v>
      </c>
      <c r="L231" s="7" t="s">
        <v>19</v>
      </c>
      <c r="M231" s="7"/>
      <c r="N231" s="7"/>
      <c r="O231" s="7"/>
    </row>
    <row r="232">
      <c r="A232" s="5">
        <v>90.0</v>
      </c>
      <c r="B232" s="6" t="s">
        <v>31</v>
      </c>
      <c r="C232" s="7" t="s">
        <v>16</v>
      </c>
      <c r="D232" s="8">
        <v>46116.0</v>
      </c>
      <c r="E232" s="9">
        <v>0.3125</v>
      </c>
      <c r="F232" s="10">
        <v>9.0</v>
      </c>
      <c r="G232" s="11">
        <v>10.0</v>
      </c>
      <c r="H232" s="10">
        <v>8.0</v>
      </c>
      <c r="I232" s="10">
        <f t="shared" si="19"/>
        <v>27</v>
      </c>
      <c r="J232" s="7" t="s">
        <v>28</v>
      </c>
      <c r="K232" s="20" t="s">
        <v>18</v>
      </c>
      <c r="L232" s="7" t="s">
        <v>19</v>
      </c>
      <c r="M232" s="7"/>
      <c r="N232" s="7"/>
      <c r="O232" s="7"/>
    </row>
    <row r="233">
      <c r="A233" s="12"/>
      <c r="B233" s="12"/>
      <c r="C233" s="7" t="s">
        <v>20</v>
      </c>
      <c r="D233" s="8">
        <v>46116.0</v>
      </c>
      <c r="E233" s="9">
        <v>0.3125</v>
      </c>
      <c r="F233" s="10">
        <v>9.0</v>
      </c>
      <c r="G233" s="11">
        <v>10.0</v>
      </c>
      <c r="H233" s="10">
        <v>12.0</v>
      </c>
      <c r="I233" s="10">
        <f t="shared" si="19"/>
        <v>31</v>
      </c>
      <c r="J233" s="7" t="s">
        <v>28</v>
      </c>
      <c r="K233" s="7" t="s">
        <v>18</v>
      </c>
      <c r="L233" s="7" t="s">
        <v>19</v>
      </c>
      <c r="M233" s="7"/>
      <c r="N233" s="7"/>
      <c r="O233" s="7"/>
    </row>
    <row r="234">
      <c r="A234" s="5">
        <v>91.0</v>
      </c>
      <c r="B234" s="15" t="s">
        <v>33</v>
      </c>
      <c r="C234" s="7" t="s">
        <v>16</v>
      </c>
      <c r="D234" s="8">
        <v>46116.0</v>
      </c>
      <c r="E234" s="9">
        <v>0.3125</v>
      </c>
      <c r="F234" s="10">
        <v>12.0</v>
      </c>
      <c r="G234" s="11">
        <v>10.0</v>
      </c>
      <c r="H234" s="10">
        <v>14.0</v>
      </c>
      <c r="I234" s="10">
        <f t="shared" si="19"/>
        <v>36</v>
      </c>
      <c r="J234" s="7" t="s">
        <v>17</v>
      </c>
      <c r="K234" s="7" t="s">
        <v>18</v>
      </c>
      <c r="L234" s="7" t="s">
        <v>19</v>
      </c>
      <c r="M234" s="7"/>
      <c r="N234" s="7"/>
      <c r="O234" s="7"/>
    </row>
    <row r="235">
      <c r="A235" s="12"/>
      <c r="B235" s="12"/>
      <c r="C235" s="7" t="s">
        <v>20</v>
      </c>
      <c r="D235" s="8">
        <v>46116.0</v>
      </c>
      <c r="E235" s="9">
        <v>0.3125</v>
      </c>
      <c r="F235" s="10">
        <v>12.0</v>
      </c>
      <c r="G235" s="11">
        <v>10.0</v>
      </c>
      <c r="H235" s="10">
        <v>8.0</v>
      </c>
      <c r="I235" s="10">
        <f t="shared" si="19"/>
        <v>30</v>
      </c>
      <c r="J235" s="7" t="s">
        <v>28</v>
      </c>
      <c r="K235" s="16" t="s">
        <v>18</v>
      </c>
      <c r="L235" s="7" t="s">
        <v>19</v>
      </c>
      <c r="M235" s="7"/>
      <c r="N235" s="7"/>
      <c r="O235" s="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>
      <c r="A237" s="4" t="s">
        <v>1</v>
      </c>
      <c r="B237" s="4" t="s">
        <v>2</v>
      </c>
      <c r="C237" s="4" t="s">
        <v>3</v>
      </c>
      <c r="D237" s="4" t="s">
        <v>4</v>
      </c>
      <c r="E237" s="4" t="s">
        <v>5</v>
      </c>
      <c r="F237" s="4" t="s">
        <v>6</v>
      </c>
      <c r="G237" s="4" t="s">
        <v>7</v>
      </c>
      <c r="H237" s="4" t="s">
        <v>8</v>
      </c>
      <c r="I237" s="25" t="s">
        <v>9</v>
      </c>
      <c r="J237" s="4" t="s">
        <v>10</v>
      </c>
      <c r="K237" s="4" t="s">
        <v>11</v>
      </c>
      <c r="L237" s="4" t="s">
        <v>12</v>
      </c>
      <c r="M237" s="4" t="s">
        <v>13</v>
      </c>
      <c r="N237" s="4" t="s">
        <v>10</v>
      </c>
      <c r="O237" s="4" t="s">
        <v>14</v>
      </c>
    </row>
    <row r="238">
      <c r="A238" s="5">
        <v>92.0</v>
      </c>
      <c r="B238" s="6" t="s">
        <v>15</v>
      </c>
      <c r="C238" s="7" t="s">
        <v>16</v>
      </c>
      <c r="D238" s="8">
        <v>46116.0</v>
      </c>
      <c r="E238" s="9">
        <v>0.5208333333333334</v>
      </c>
      <c r="F238" s="10">
        <v>4.0</v>
      </c>
      <c r="G238" s="11">
        <v>10.0</v>
      </c>
      <c r="H238" s="10">
        <v>16.0</v>
      </c>
      <c r="I238" s="10">
        <f t="shared" ref="I238:I247" si="20">F238+G238+H238</f>
        <v>30</v>
      </c>
      <c r="J238" s="7" t="s">
        <v>28</v>
      </c>
      <c r="K238" s="7" t="s">
        <v>18</v>
      </c>
      <c r="L238" s="7" t="s">
        <v>19</v>
      </c>
      <c r="M238" s="7"/>
      <c r="N238" s="7"/>
      <c r="O238" s="7"/>
    </row>
    <row r="239">
      <c r="A239" s="12"/>
      <c r="B239" s="12"/>
      <c r="C239" s="7" t="s">
        <v>20</v>
      </c>
      <c r="D239" s="8">
        <v>46116.0</v>
      </c>
      <c r="E239" s="9">
        <v>0.5208333333333334</v>
      </c>
      <c r="F239" s="10">
        <v>4.0</v>
      </c>
      <c r="G239" s="11">
        <v>10.0</v>
      </c>
      <c r="H239" s="10">
        <v>22.0</v>
      </c>
      <c r="I239" s="10">
        <f t="shared" si="20"/>
        <v>36</v>
      </c>
      <c r="J239" s="7" t="s">
        <v>17</v>
      </c>
      <c r="K239" s="13" t="s">
        <v>22</v>
      </c>
      <c r="L239" s="7" t="s">
        <v>23</v>
      </c>
      <c r="M239" s="26" t="s">
        <v>24</v>
      </c>
      <c r="N239" s="7" t="s">
        <v>28</v>
      </c>
      <c r="O239" s="10">
        <v>4.0</v>
      </c>
    </row>
    <row r="240">
      <c r="A240" s="5">
        <v>93.0</v>
      </c>
      <c r="B240" s="6" t="s">
        <v>25</v>
      </c>
      <c r="C240" s="7" t="s">
        <v>16</v>
      </c>
      <c r="D240" s="8">
        <v>46116.0</v>
      </c>
      <c r="E240" s="9">
        <v>0.5208333333333334</v>
      </c>
      <c r="F240" s="10">
        <v>1.0</v>
      </c>
      <c r="G240" s="11">
        <v>10.0</v>
      </c>
      <c r="H240" s="10">
        <v>10.0</v>
      </c>
      <c r="I240" s="10">
        <f t="shared" si="20"/>
        <v>21</v>
      </c>
      <c r="J240" s="7" t="s">
        <v>28</v>
      </c>
      <c r="K240" s="7" t="s">
        <v>18</v>
      </c>
      <c r="L240" s="7" t="s">
        <v>19</v>
      </c>
      <c r="M240" s="7"/>
      <c r="N240" s="7"/>
      <c r="O240" s="7"/>
    </row>
    <row r="241">
      <c r="A241" s="12"/>
      <c r="B241" s="12"/>
      <c r="C241" s="7" t="s">
        <v>20</v>
      </c>
      <c r="D241" s="8">
        <v>46116.0</v>
      </c>
      <c r="E241" s="9">
        <v>0.5208333333333334</v>
      </c>
      <c r="F241" s="10">
        <v>1.0</v>
      </c>
      <c r="G241" s="11">
        <v>10.0</v>
      </c>
      <c r="H241" s="10">
        <v>26.0</v>
      </c>
      <c r="I241" s="10">
        <f t="shared" si="20"/>
        <v>37</v>
      </c>
      <c r="J241" s="7" t="s">
        <v>17</v>
      </c>
      <c r="K241" s="7" t="s">
        <v>18</v>
      </c>
      <c r="L241" s="7" t="s">
        <v>23</v>
      </c>
      <c r="M241" s="14" t="s">
        <v>53</v>
      </c>
      <c r="N241" s="7" t="s">
        <v>17</v>
      </c>
      <c r="O241" s="10">
        <v>4.0</v>
      </c>
    </row>
    <row r="242">
      <c r="A242" s="5">
        <v>94.0</v>
      </c>
      <c r="B242" s="6" t="s">
        <v>27</v>
      </c>
      <c r="C242" s="7" t="s">
        <v>16</v>
      </c>
      <c r="D242" s="8">
        <v>46116.0</v>
      </c>
      <c r="E242" s="9">
        <v>0.5208333333333334</v>
      </c>
      <c r="F242" s="10">
        <v>8.0</v>
      </c>
      <c r="G242" s="11">
        <v>10.0</v>
      </c>
      <c r="H242" s="10">
        <v>7.0</v>
      </c>
      <c r="I242" s="10">
        <f t="shared" si="20"/>
        <v>25</v>
      </c>
      <c r="J242" s="7" t="s">
        <v>28</v>
      </c>
      <c r="K242" s="13" t="s">
        <v>29</v>
      </c>
      <c r="L242" s="7" t="s">
        <v>19</v>
      </c>
      <c r="M242" s="7"/>
      <c r="N242" s="7"/>
      <c r="O242" s="7"/>
    </row>
    <row r="243">
      <c r="A243" s="12"/>
      <c r="B243" s="12"/>
      <c r="C243" s="7" t="s">
        <v>20</v>
      </c>
      <c r="D243" s="8">
        <v>46116.0</v>
      </c>
      <c r="E243" s="9">
        <v>0.5208333333333334</v>
      </c>
      <c r="F243" s="10">
        <v>8.0</v>
      </c>
      <c r="G243" s="11">
        <v>10.0</v>
      </c>
      <c r="H243" s="10">
        <v>20.0</v>
      </c>
      <c r="I243" s="10">
        <f t="shared" si="20"/>
        <v>38</v>
      </c>
      <c r="J243" s="7" t="s">
        <v>21</v>
      </c>
      <c r="K243" s="7" t="s">
        <v>36</v>
      </c>
      <c r="L243" s="7" t="s">
        <v>23</v>
      </c>
      <c r="M243" s="26" t="s">
        <v>54</v>
      </c>
      <c r="N243" s="7" t="s">
        <v>28</v>
      </c>
      <c r="O243" s="10">
        <v>2.0</v>
      </c>
    </row>
    <row r="244">
      <c r="A244" s="5">
        <v>95.0</v>
      </c>
      <c r="B244" s="6" t="s">
        <v>31</v>
      </c>
      <c r="C244" s="7" t="s">
        <v>16</v>
      </c>
      <c r="D244" s="8">
        <v>46116.0</v>
      </c>
      <c r="E244" s="9">
        <v>0.5208333333333334</v>
      </c>
      <c r="F244" s="10">
        <v>10.0</v>
      </c>
      <c r="G244" s="11">
        <v>10.0</v>
      </c>
      <c r="H244" s="10">
        <v>9.0</v>
      </c>
      <c r="I244" s="10">
        <f t="shared" si="20"/>
        <v>29</v>
      </c>
      <c r="J244" s="7" t="s">
        <v>28</v>
      </c>
      <c r="K244" s="20" t="s">
        <v>18</v>
      </c>
      <c r="L244" s="7" t="s">
        <v>19</v>
      </c>
      <c r="M244" s="7"/>
      <c r="N244" s="7"/>
      <c r="O244" s="7"/>
    </row>
    <row r="245">
      <c r="A245" s="12"/>
      <c r="B245" s="12"/>
      <c r="C245" s="7" t="s">
        <v>20</v>
      </c>
      <c r="D245" s="8">
        <v>46116.0</v>
      </c>
      <c r="E245" s="9">
        <v>0.5208333333333334</v>
      </c>
      <c r="F245" s="10">
        <v>10.0</v>
      </c>
      <c r="G245" s="11">
        <v>10.0</v>
      </c>
      <c r="H245" s="10">
        <v>12.0</v>
      </c>
      <c r="I245" s="10">
        <f t="shared" si="20"/>
        <v>32</v>
      </c>
      <c r="J245" s="7" t="s">
        <v>17</v>
      </c>
      <c r="K245" s="7" t="s">
        <v>18</v>
      </c>
      <c r="L245" s="7" t="s">
        <v>23</v>
      </c>
      <c r="M245" s="7"/>
      <c r="N245" s="7"/>
      <c r="O245" s="7"/>
    </row>
    <row r="246">
      <c r="A246" s="5">
        <v>96.0</v>
      </c>
      <c r="B246" s="15" t="s">
        <v>33</v>
      </c>
      <c r="C246" s="7" t="s">
        <v>16</v>
      </c>
      <c r="D246" s="8">
        <v>46116.0</v>
      </c>
      <c r="E246" s="9">
        <v>0.5208333333333334</v>
      </c>
      <c r="F246" s="10">
        <v>14.0</v>
      </c>
      <c r="G246" s="11">
        <v>10.0</v>
      </c>
      <c r="H246" s="10">
        <v>14.0</v>
      </c>
      <c r="I246" s="10">
        <f t="shared" si="20"/>
        <v>38</v>
      </c>
      <c r="J246" s="7" t="s">
        <v>17</v>
      </c>
      <c r="K246" s="7" t="s">
        <v>18</v>
      </c>
      <c r="L246" s="7" t="s">
        <v>19</v>
      </c>
      <c r="M246" s="7"/>
      <c r="N246" s="7"/>
      <c r="O246" s="7"/>
    </row>
    <row r="247">
      <c r="A247" s="12"/>
      <c r="B247" s="12"/>
      <c r="C247" s="7" t="s">
        <v>20</v>
      </c>
      <c r="D247" s="8">
        <v>46116.0</v>
      </c>
      <c r="E247" s="9">
        <v>0.5208333333333334</v>
      </c>
      <c r="F247" s="10">
        <v>14.0</v>
      </c>
      <c r="G247" s="11">
        <v>10.0</v>
      </c>
      <c r="H247" s="10">
        <v>8.0</v>
      </c>
      <c r="I247" s="10">
        <f t="shared" si="20"/>
        <v>32</v>
      </c>
      <c r="J247" s="7" t="s">
        <v>28</v>
      </c>
      <c r="K247" s="16" t="s">
        <v>18</v>
      </c>
      <c r="L247" s="7" t="s">
        <v>19</v>
      </c>
      <c r="M247" s="7"/>
      <c r="N247" s="7"/>
      <c r="O247" s="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>
      <c r="A249" s="4" t="s">
        <v>1</v>
      </c>
      <c r="B249" s="4" t="s">
        <v>2</v>
      </c>
      <c r="C249" s="4" t="s">
        <v>3</v>
      </c>
      <c r="D249" s="4" t="s">
        <v>4</v>
      </c>
      <c r="E249" s="4" t="s">
        <v>5</v>
      </c>
      <c r="F249" s="4" t="s">
        <v>6</v>
      </c>
      <c r="G249" s="4" t="s">
        <v>7</v>
      </c>
      <c r="H249" s="4" t="s">
        <v>8</v>
      </c>
      <c r="I249" s="25" t="s">
        <v>9</v>
      </c>
      <c r="J249" s="4" t="s">
        <v>10</v>
      </c>
      <c r="K249" s="4" t="s">
        <v>11</v>
      </c>
      <c r="L249" s="4" t="s">
        <v>12</v>
      </c>
      <c r="M249" s="4" t="s">
        <v>13</v>
      </c>
      <c r="N249" s="4" t="s">
        <v>10</v>
      </c>
      <c r="O249" s="4" t="s">
        <v>14</v>
      </c>
    </row>
    <row r="250">
      <c r="A250" s="5">
        <v>97.0</v>
      </c>
      <c r="B250" s="6" t="s">
        <v>15</v>
      </c>
      <c r="C250" s="7" t="s">
        <v>16</v>
      </c>
      <c r="D250" s="8">
        <v>46116.0</v>
      </c>
      <c r="E250" s="9">
        <v>0.7708333333333334</v>
      </c>
      <c r="F250" s="10">
        <v>4.0</v>
      </c>
      <c r="G250" s="11">
        <v>10.0</v>
      </c>
      <c r="H250" s="10">
        <v>16.0</v>
      </c>
      <c r="I250" s="10">
        <f t="shared" ref="I250:I259" si="21">F250+G250+H250</f>
        <v>30</v>
      </c>
      <c r="J250" s="7" t="s">
        <v>28</v>
      </c>
      <c r="K250" s="7" t="s">
        <v>18</v>
      </c>
      <c r="L250" s="7" t="s">
        <v>19</v>
      </c>
      <c r="M250" s="7"/>
      <c r="N250" s="7"/>
      <c r="O250" s="7"/>
    </row>
    <row r="251">
      <c r="A251" s="12"/>
      <c r="B251" s="12"/>
      <c r="C251" s="7" t="s">
        <v>20</v>
      </c>
      <c r="D251" s="8">
        <v>46116.0</v>
      </c>
      <c r="E251" s="9">
        <v>0.7708333333333334</v>
      </c>
      <c r="F251" s="10">
        <v>4.0</v>
      </c>
      <c r="G251" s="11">
        <v>10.0</v>
      </c>
      <c r="H251" s="10">
        <v>18.0</v>
      </c>
      <c r="I251" s="10">
        <f t="shared" si="21"/>
        <v>32</v>
      </c>
      <c r="J251" s="7" t="s">
        <v>28</v>
      </c>
      <c r="K251" s="13" t="s">
        <v>22</v>
      </c>
      <c r="L251" s="7" t="s">
        <v>19</v>
      </c>
      <c r="M251" s="7"/>
      <c r="N251" s="7"/>
      <c r="O251" s="7"/>
    </row>
    <row r="252">
      <c r="A252" s="5">
        <v>98.0</v>
      </c>
      <c r="B252" s="6" t="s">
        <v>25</v>
      </c>
      <c r="C252" s="7" t="s">
        <v>16</v>
      </c>
      <c r="D252" s="8">
        <v>46116.0</v>
      </c>
      <c r="E252" s="9">
        <v>0.7708333333333334</v>
      </c>
      <c r="F252" s="10">
        <v>1.0</v>
      </c>
      <c r="G252" s="11">
        <v>10.0</v>
      </c>
      <c r="H252" s="10">
        <v>12.0</v>
      </c>
      <c r="I252" s="10">
        <f t="shared" si="21"/>
        <v>23</v>
      </c>
      <c r="J252" s="7" t="s">
        <v>28</v>
      </c>
      <c r="K252" s="7" t="s">
        <v>18</v>
      </c>
      <c r="L252" s="7" t="s">
        <v>19</v>
      </c>
      <c r="M252" s="7"/>
      <c r="N252" s="7"/>
      <c r="O252" s="7"/>
    </row>
    <row r="253">
      <c r="A253" s="12"/>
      <c r="B253" s="12"/>
      <c r="C253" s="7" t="s">
        <v>20</v>
      </c>
      <c r="D253" s="8">
        <v>46116.0</v>
      </c>
      <c r="E253" s="9">
        <v>0.7708333333333334</v>
      </c>
      <c r="F253" s="10">
        <v>1.0</v>
      </c>
      <c r="G253" s="11">
        <v>10.0</v>
      </c>
      <c r="H253" s="10">
        <v>22.0</v>
      </c>
      <c r="I253" s="10">
        <f t="shared" si="21"/>
        <v>33</v>
      </c>
      <c r="J253" s="7" t="s">
        <v>17</v>
      </c>
      <c r="K253" s="7" t="s">
        <v>18</v>
      </c>
      <c r="L253" s="7" t="s">
        <v>23</v>
      </c>
      <c r="M253" s="14" t="s">
        <v>55</v>
      </c>
      <c r="N253" s="7" t="s">
        <v>28</v>
      </c>
      <c r="O253" s="10">
        <v>2.0</v>
      </c>
    </row>
    <row r="254">
      <c r="A254" s="5">
        <v>99.0</v>
      </c>
      <c r="B254" s="6" t="s">
        <v>27</v>
      </c>
      <c r="C254" s="7" t="s">
        <v>16</v>
      </c>
      <c r="D254" s="8">
        <v>46116.0</v>
      </c>
      <c r="E254" s="9">
        <v>0.7708333333333334</v>
      </c>
      <c r="F254" s="10">
        <v>6.0</v>
      </c>
      <c r="G254" s="11">
        <v>10.0</v>
      </c>
      <c r="H254" s="10">
        <v>7.0</v>
      </c>
      <c r="I254" s="10">
        <f t="shared" si="21"/>
        <v>23</v>
      </c>
      <c r="J254" s="7" t="s">
        <v>28</v>
      </c>
      <c r="K254" s="13" t="s">
        <v>29</v>
      </c>
      <c r="L254" s="7" t="s">
        <v>19</v>
      </c>
      <c r="M254" s="7"/>
      <c r="N254" s="7"/>
      <c r="O254" s="7"/>
    </row>
    <row r="255">
      <c r="A255" s="12"/>
      <c r="B255" s="12"/>
      <c r="C255" s="7" t="s">
        <v>20</v>
      </c>
      <c r="D255" s="8">
        <v>46116.0</v>
      </c>
      <c r="E255" s="9">
        <v>0.7708333333333334</v>
      </c>
      <c r="F255" s="10">
        <v>6.0</v>
      </c>
      <c r="G255" s="11">
        <v>10.0</v>
      </c>
      <c r="H255" s="10">
        <v>16.0</v>
      </c>
      <c r="I255" s="10">
        <f t="shared" si="21"/>
        <v>32</v>
      </c>
      <c r="J255" s="7" t="s">
        <v>17</v>
      </c>
      <c r="K255" s="7" t="s">
        <v>36</v>
      </c>
      <c r="L255" s="7" t="s">
        <v>19</v>
      </c>
      <c r="M255" s="7"/>
      <c r="N255" s="7"/>
      <c r="O255" s="7"/>
    </row>
    <row r="256">
      <c r="A256" s="5">
        <v>100.0</v>
      </c>
      <c r="B256" s="6" t="s">
        <v>31</v>
      </c>
      <c r="C256" s="7" t="s">
        <v>16</v>
      </c>
      <c r="D256" s="8">
        <v>46116.0</v>
      </c>
      <c r="E256" s="9">
        <v>0.7708333333333334</v>
      </c>
      <c r="F256" s="10">
        <v>12.0</v>
      </c>
      <c r="G256" s="11">
        <v>10.0</v>
      </c>
      <c r="H256" s="10">
        <v>9.0</v>
      </c>
      <c r="I256" s="10">
        <f t="shared" si="21"/>
        <v>31</v>
      </c>
      <c r="J256" s="7" t="s">
        <v>28</v>
      </c>
      <c r="K256" s="20" t="s">
        <v>18</v>
      </c>
      <c r="L256" s="7" t="s">
        <v>19</v>
      </c>
      <c r="M256" s="7"/>
      <c r="N256" s="7"/>
      <c r="O256" s="7"/>
    </row>
    <row r="257">
      <c r="A257" s="12"/>
      <c r="B257" s="12"/>
      <c r="C257" s="7" t="s">
        <v>20</v>
      </c>
      <c r="D257" s="8">
        <v>46116.0</v>
      </c>
      <c r="E257" s="9">
        <v>0.7708333333333334</v>
      </c>
      <c r="F257" s="10">
        <v>12.0</v>
      </c>
      <c r="G257" s="11">
        <v>10.0</v>
      </c>
      <c r="H257" s="10">
        <v>12.0</v>
      </c>
      <c r="I257" s="10">
        <f t="shared" si="21"/>
        <v>34</v>
      </c>
      <c r="J257" s="7" t="s">
        <v>17</v>
      </c>
      <c r="K257" s="7" t="s">
        <v>18</v>
      </c>
      <c r="L257" s="7" t="s">
        <v>19</v>
      </c>
      <c r="M257" s="7"/>
      <c r="N257" s="7"/>
      <c r="O257" s="7"/>
    </row>
    <row r="258">
      <c r="A258" s="5">
        <v>101.0</v>
      </c>
      <c r="B258" s="15" t="s">
        <v>33</v>
      </c>
      <c r="C258" s="7" t="s">
        <v>16</v>
      </c>
      <c r="D258" s="8">
        <v>46116.0</v>
      </c>
      <c r="E258" s="9">
        <v>0.7708333333333334</v>
      </c>
      <c r="F258" s="10">
        <v>16.0</v>
      </c>
      <c r="G258" s="11">
        <v>10.0</v>
      </c>
      <c r="H258" s="10">
        <v>12.0</v>
      </c>
      <c r="I258" s="10">
        <f t="shared" si="21"/>
        <v>38</v>
      </c>
      <c r="J258" s="7" t="s">
        <v>17</v>
      </c>
      <c r="K258" s="7" t="s">
        <v>18</v>
      </c>
      <c r="L258" s="7" t="s">
        <v>19</v>
      </c>
      <c r="M258" s="7"/>
      <c r="N258" s="7"/>
      <c r="O258" s="7"/>
    </row>
    <row r="259">
      <c r="A259" s="12"/>
      <c r="B259" s="12"/>
      <c r="C259" s="7" t="s">
        <v>20</v>
      </c>
      <c r="D259" s="8">
        <v>46116.0</v>
      </c>
      <c r="E259" s="9">
        <v>0.7708333333333334</v>
      </c>
      <c r="F259" s="10">
        <v>16.0</v>
      </c>
      <c r="G259" s="11">
        <v>10.0</v>
      </c>
      <c r="H259" s="10">
        <v>8.0</v>
      </c>
      <c r="I259" s="10">
        <f t="shared" si="21"/>
        <v>34</v>
      </c>
      <c r="J259" s="7" t="s">
        <v>28</v>
      </c>
      <c r="K259" s="16" t="s">
        <v>18</v>
      </c>
      <c r="L259" s="7" t="s">
        <v>19</v>
      </c>
      <c r="M259" s="7"/>
      <c r="N259" s="7"/>
      <c r="O259" s="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</row>
    <row r="261">
      <c r="A261" s="24" t="s">
        <v>56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</row>
    <row r="262">
      <c r="A262" s="4" t="s">
        <v>1</v>
      </c>
      <c r="B262" s="4" t="s">
        <v>2</v>
      </c>
      <c r="C262" s="4" t="s">
        <v>3</v>
      </c>
      <c r="D262" s="4" t="s">
        <v>4</v>
      </c>
      <c r="E262" s="4" t="s">
        <v>5</v>
      </c>
      <c r="F262" s="4" t="s">
        <v>6</v>
      </c>
      <c r="G262" s="4" t="s">
        <v>7</v>
      </c>
      <c r="H262" s="4" t="s">
        <v>8</v>
      </c>
      <c r="I262" s="25" t="s">
        <v>9</v>
      </c>
      <c r="J262" s="4" t="s">
        <v>10</v>
      </c>
      <c r="K262" s="4" t="s">
        <v>11</v>
      </c>
      <c r="L262" s="4" t="s">
        <v>12</v>
      </c>
      <c r="M262" s="4" t="s">
        <v>13</v>
      </c>
      <c r="N262" s="4" t="s">
        <v>10</v>
      </c>
      <c r="O262" s="4" t="s">
        <v>14</v>
      </c>
    </row>
    <row r="263">
      <c r="A263" s="5">
        <v>102.0</v>
      </c>
      <c r="B263" s="6" t="s">
        <v>15</v>
      </c>
      <c r="C263" s="7" t="s">
        <v>16</v>
      </c>
      <c r="D263" s="8">
        <v>46115.0</v>
      </c>
      <c r="E263" s="9">
        <v>0.3125</v>
      </c>
      <c r="F263" s="10">
        <v>4.0</v>
      </c>
      <c r="G263" s="11">
        <v>10.0</v>
      </c>
      <c r="H263" s="10">
        <v>14.0</v>
      </c>
      <c r="I263" s="10">
        <f t="shared" ref="I263:I272" si="22">F263+G263+H263</f>
        <v>28</v>
      </c>
      <c r="J263" s="7" t="s">
        <v>28</v>
      </c>
      <c r="K263" s="7" t="s">
        <v>18</v>
      </c>
      <c r="L263" s="7" t="s">
        <v>19</v>
      </c>
      <c r="M263" s="7"/>
      <c r="N263" s="7"/>
      <c r="O263" s="7"/>
    </row>
    <row r="264">
      <c r="A264" s="12"/>
      <c r="B264" s="12"/>
      <c r="C264" s="7" t="s">
        <v>20</v>
      </c>
      <c r="D264" s="8">
        <v>46115.0</v>
      </c>
      <c r="E264" s="9">
        <v>0.3125</v>
      </c>
      <c r="F264" s="10">
        <v>4.0</v>
      </c>
      <c r="G264" s="11">
        <v>10.0</v>
      </c>
      <c r="H264" s="10">
        <v>18.0</v>
      </c>
      <c r="I264" s="10">
        <f t="shared" si="22"/>
        <v>32</v>
      </c>
      <c r="J264" s="7" t="s">
        <v>28</v>
      </c>
      <c r="K264" s="13" t="s">
        <v>22</v>
      </c>
      <c r="L264" s="7" t="s">
        <v>23</v>
      </c>
      <c r="M264" s="26" t="s">
        <v>57</v>
      </c>
      <c r="N264" s="7" t="s">
        <v>28</v>
      </c>
      <c r="O264" s="10">
        <v>2.0</v>
      </c>
    </row>
    <row r="265">
      <c r="A265" s="5">
        <v>103.0</v>
      </c>
      <c r="B265" s="6" t="s">
        <v>25</v>
      </c>
      <c r="C265" s="7" t="s">
        <v>16</v>
      </c>
      <c r="D265" s="8">
        <v>46115.0</v>
      </c>
      <c r="E265" s="9">
        <v>0.3125</v>
      </c>
      <c r="F265" s="10">
        <v>1.0</v>
      </c>
      <c r="G265" s="11">
        <v>10.0</v>
      </c>
      <c r="H265" s="10">
        <v>10.0</v>
      </c>
      <c r="I265" s="10">
        <f t="shared" si="22"/>
        <v>21</v>
      </c>
      <c r="J265" s="7" t="s">
        <v>28</v>
      </c>
      <c r="K265" s="7" t="s">
        <v>18</v>
      </c>
      <c r="L265" s="7" t="s">
        <v>19</v>
      </c>
      <c r="M265" s="7"/>
      <c r="N265" s="7"/>
      <c r="O265" s="7"/>
    </row>
    <row r="266">
      <c r="A266" s="12"/>
      <c r="B266" s="12"/>
      <c r="C266" s="7" t="s">
        <v>20</v>
      </c>
      <c r="D266" s="8">
        <v>46115.0</v>
      </c>
      <c r="E266" s="9">
        <v>0.3125</v>
      </c>
      <c r="F266" s="10">
        <v>1.0</v>
      </c>
      <c r="G266" s="11">
        <v>10.0</v>
      </c>
      <c r="H266" s="10">
        <v>18.0</v>
      </c>
      <c r="I266" s="10">
        <f t="shared" si="22"/>
        <v>29</v>
      </c>
      <c r="J266" s="7" t="s">
        <v>28</v>
      </c>
      <c r="K266" s="7" t="s">
        <v>18</v>
      </c>
      <c r="L266" s="7" t="s">
        <v>23</v>
      </c>
      <c r="M266" s="26" t="s">
        <v>58</v>
      </c>
      <c r="N266" s="7" t="s">
        <v>28</v>
      </c>
      <c r="O266" s="10">
        <v>2.0</v>
      </c>
    </row>
    <row r="267">
      <c r="A267" s="5">
        <v>104.0</v>
      </c>
      <c r="B267" s="6" t="s">
        <v>27</v>
      </c>
      <c r="C267" s="7" t="s">
        <v>16</v>
      </c>
      <c r="D267" s="8">
        <v>46115.0</v>
      </c>
      <c r="E267" s="9">
        <v>0.3125</v>
      </c>
      <c r="F267" s="10">
        <v>4.0</v>
      </c>
      <c r="G267" s="11">
        <v>10.0</v>
      </c>
      <c r="H267" s="10">
        <v>7.0</v>
      </c>
      <c r="I267" s="10">
        <f t="shared" si="22"/>
        <v>21</v>
      </c>
      <c r="J267" s="7" t="s">
        <v>28</v>
      </c>
      <c r="K267" s="13" t="s">
        <v>29</v>
      </c>
      <c r="L267" s="7" t="s">
        <v>19</v>
      </c>
      <c r="M267" s="7"/>
      <c r="N267" s="7"/>
      <c r="O267" s="7"/>
    </row>
    <row r="268">
      <c r="A268" s="12"/>
      <c r="B268" s="12"/>
      <c r="C268" s="7" t="s">
        <v>20</v>
      </c>
      <c r="D268" s="8">
        <v>46115.0</v>
      </c>
      <c r="E268" s="9">
        <v>0.3125</v>
      </c>
      <c r="F268" s="10">
        <v>4.0</v>
      </c>
      <c r="G268" s="11">
        <v>10.0</v>
      </c>
      <c r="H268" s="10">
        <v>14.0</v>
      </c>
      <c r="I268" s="10">
        <f t="shared" si="22"/>
        <v>28</v>
      </c>
      <c r="J268" s="7" t="s">
        <v>28</v>
      </c>
      <c r="K268" s="7" t="s">
        <v>36</v>
      </c>
      <c r="L268" s="7" t="s">
        <v>19</v>
      </c>
      <c r="M268" s="7"/>
      <c r="N268" s="7"/>
      <c r="O268" s="7"/>
    </row>
    <row r="269">
      <c r="A269" s="5">
        <v>105.0</v>
      </c>
      <c r="B269" s="6" t="s">
        <v>31</v>
      </c>
      <c r="C269" s="7" t="s">
        <v>16</v>
      </c>
      <c r="D269" s="8">
        <v>46115.0</v>
      </c>
      <c r="E269" s="9">
        <v>0.3125</v>
      </c>
      <c r="F269" s="10">
        <v>9.0</v>
      </c>
      <c r="G269" s="11">
        <v>10.0</v>
      </c>
      <c r="H269" s="10">
        <v>8.0</v>
      </c>
      <c r="I269" s="10">
        <f t="shared" si="22"/>
        <v>27</v>
      </c>
      <c r="J269" s="7" t="s">
        <v>28</v>
      </c>
      <c r="K269" s="20" t="s">
        <v>18</v>
      </c>
      <c r="L269" s="7" t="s">
        <v>19</v>
      </c>
      <c r="M269" s="7"/>
      <c r="N269" s="7"/>
      <c r="O269" s="7"/>
    </row>
    <row r="270">
      <c r="A270" s="12"/>
      <c r="B270" s="12"/>
      <c r="C270" s="7" t="s">
        <v>20</v>
      </c>
      <c r="D270" s="8">
        <v>46115.0</v>
      </c>
      <c r="E270" s="9">
        <v>0.3125</v>
      </c>
      <c r="F270" s="10">
        <v>9.0</v>
      </c>
      <c r="G270" s="11">
        <v>10.0</v>
      </c>
      <c r="H270" s="10">
        <v>9.0</v>
      </c>
      <c r="I270" s="10">
        <f t="shared" si="22"/>
        <v>28</v>
      </c>
      <c r="J270" s="7" t="s">
        <v>28</v>
      </c>
      <c r="K270" s="7" t="s">
        <v>18</v>
      </c>
      <c r="L270" s="7" t="s">
        <v>19</v>
      </c>
      <c r="M270" s="7"/>
      <c r="N270" s="7"/>
      <c r="O270" s="7"/>
    </row>
    <row r="271">
      <c r="A271" s="5">
        <v>106.0</v>
      </c>
      <c r="B271" s="15" t="s">
        <v>33</v>
      </c>
      <c r="C271" s="7" t="s">
        <v>16</v>
      </c>
      <c r="D271" s="8">
        <v>46115.0</v>
      </c>
      <c r="E271" s="9">
        <v>0.3125</v>
      </c>
      <c r="F271" s="10">
        <v>12.0</v>
      </c>
      <c r="G271" s="11">
        <v>10.0</v>
      </c>
      <c r="H271" s="10">
        <v>9.0</v>
      </c>
      <c r="I271" s="10">
        <f t="shared" si="22"/>
        <v>31</v>
      </c>
      <c r="J271" s="7" t="s">
        <v>28</v>
      </c>
      <c r="K271" s="7" t="s">
        <v>18</v>
      </c>
      <c r="L271" s="7" t="s">
        <v>19</v>
      </c>
      <c r="M271" s="7"/>
      <c r="N271" s="7"/>
      <c r="O271" s="7"/>
    </row>
    <row r="272">
      <c r="A272" s="12"/>
      <c r="B272" s="12"/>
      <c r="C272" s="7" t="s">
        <v>20</v>
      </c>
      <c r="D272" s="8">
        <v>46115.0</v>
      </c>
      <c r="E272" s="9">
        <v>0.3125</v>
      </c>
      <c r="F272" s="10">
        <v>12.0</v>
      </c>
      <c r="G272" s="11">
        <v>10.0</v>
      </c>
      <c r="H272" s="10">
        <v>7.0</v>
      </c>
      <c r="I272" s="10">
        <f t="shared" si="22"/>
        <v>29</v>
      </c>
      <c r="J272" s="7" t="s">
        <v>28</v>
      </c>
      <c r="K272" s="16" t="s">
        <v>18</v>
      </c>
      <c r="L272" s="7" t="s">
        <v>19</v>
      </c>
      <c r="M272" s="7"/>
      <c r="N272" s="7"/>
      <c r="O272" s="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</row>
    <row r="274">
      <c r="A274" s="4" t="s">
        <v>1</v>
      </c>
      <c r="B274" s="4" t="s">
        <v>2</v>
      </c>
      <c r="C274" s="4" t="s">
        <v>3</v>
      </c>
      <c r="D274" s="4" t="s">
        <v>4</v>
      </c>
      <c r="E274" s="4" t="s">
        <v>5</v>
      </c>
      <c r="F274" s="4" t="s">
        <v>6</v>
      </c>
      <c r="G274" s="4" t="s">
        <v>7</v>
      </c>
      <c r="H274" s="4" t="s">
        <v>8</v>
      </c>
      <c r="I274" s="25" t="s">
        <v>9</v>
      </c>
      <c r="J274" s="4" t="s">
        <v>10</v>
      </c>
      <c r="K274" s="4" t="s">
        <v>11</v>
      </c>
      <c r="L274" s="4" t="s">
        <v>12</v>
      </c>
      <c r="M274" s="4" t="s">
        <v>13</v>
      </c>
      <c r="N274" s="4" t="s">
        <v>10</v>
      </c>
      <c r="O274" s="4" t="s">
        <v>14</v>
      </c>
    </row>
    <row r="275">
      <c r="A275" s="5">
        <v>107.0</v>
      </c>
      <c r="B275" s="6" t="s">
        <v>15</v>
      </c>
      <c r="C275" s="7" t="s">
        <v>16</v>
      </c>
      <c r="D275" s="8">
        <v>46115.0</v>
      </c>
      <c r="E275" s="9">
        <v>0.5208333333333334</v>
      </c>
      <c r="F275" s="10">
        <v>4.0</v>
      </c>
      <c r="G275" s="11">
        <v>10.0</v>
      </c>
      <c r="H275" s="10">
        <v>14.0</v>
      </c>
      <c r="I275" s="10">
        <f t="shared" ref="I275:I284" si="23">F275+G275+H275</f>
        <v>28</v>
      </c>
      <c r="J275" s="7" t="s">
        <v>28</v>
      </c>
      <c r="K275" s="10" t="s">
        <v>18</v>
      </c>
      <c r="L275" s="7" t="s">
        <v>19</v>
      </c>
      <c r="M275" s="7"/>
      <c r="N275" s="7"/>
      <c r="O275" s="7"/>
    </row>
    <row r="276">
      <c r="A276" s="12"/>
      <c r="B276" s="12"/>
      <c r="C276" s="7" t="s">
        <v>20</v>
      </c>
      <c r="D276" s="8">
        <v>46115.0</v>
      </c>
      <c r="E276" s="9">
        <v>0.5208333333333334</v>
      </c>
      <c r="F276" s="10">
        <v>4.0</v>
      </c>
      <c r="G276" s="11">
        <v>10.0</v>
      </c>
      <c r="H276" s="10">
        <v>18.0</v>
      </c>
      <c r="I276" s="10">
        <f t="shared" si="23"/>
        <v>32</v>
      </c>
      <c r="J276" s="7" t="s">
        <v>28</v>
      </c>
      <c r="K276" s="14" t="s">
        <v>22</v>
      </c>
      <c r="L276" s="7" t="s">
        <v>19</v>
      </c>
      <c r="M276" s="7"/>
      <c r="N276" s="7"/>
      <c r="O276" s="7"/>
    </row>
    <row r="277">
      <c r="A277" s="5">
        <v>108.0</v>
      </c>
      <c r="B277" s="6" t="s">
        <v>25</v>
      </c>
      <c r="C277" s="7" t="s">
        <v>16</v>
      </c>
      <c r="D277" s="8">
        <v>46115.0</v>
      </c>
      <c r="E277" s="9">
        <v>0.5208333333333334</v>
      </c>
      <c r="F277" s="10">
        <v>1.0</v>
      </c>
      <c r="G277" s="11">
        <v>10.0</v>
      </c>
      <c r="H277" s="10">
        <v>10.0</v>
      </c>
      <c r="I277" s="10">
        <f t="shared" si="23"/>
        <v>21</v>
      </c>
      <c r="J277" s="7" t="s">
        <v>28</v>
      </c>
      <c r="K277" s="10" t="s">
        <v>18</v>
      </c>
      <c r="L277" s="7" t="s">
        <v>19</v>
      </c>
      <c r="M277" s="7"/>
      <c r="N277" s="7"/>
      <c r="O277" s="7"/>
    </row>
    <row r="278">
      <c r="A278" s="12"/>
      <c r="B278" s="12"/>
      <c r="C278" s="7" t="s">
        <v>20</v>
      </c>
      <c r="D278" s="8">
        <v>46115.0</v>
      </c>
      <c r="E278" s="9">
        <v>0.5208333333333334</v>
      </c>
      <c r="F278" s="10">
        <v>1.0</v>
      </c>
      <c r="G278" s="11">
        <v>10.0</v>
      </c>
      <c r="H278" s="10">
        <v>18.0</v>
      </c>
      <c r="I278" s="10">
        <f t="shared" si="23"/>
        <v>29</v>
      </c>
      <c r="J278" s="7" t="s">
        <v>28</v>
      </c>
      <c r="K278" s="10" t="s">
        <v>18</v>
      </c>
      <c r="L278" s="7" t="s">
        <v>19</v>
      </c>
      <c r="M278" s="7"/>
      <c r="N278" s="7"/>
      <c r="O278" s="7"/>
    </row>
    <row r="279">
      <c r="A279" s="5">
        <v>109.0</v>
      </c>
      <c r="B279" s="6" t="s">
        <v>27</v>
      </c>
      <c r="C279" s="7" t="s">
        <v>16</v>
      </c>
      <c r="D279" s="8">
        <v>46115.0</v>
      </c>
      <c r="E279" s="9">
        <v>0.5208333333333334</v>
      </c>
      <c r="F279" s="10">
        <v>4.0</v>
      </c>
      <c r="G279" s="11">
        <v>10.0</v>
      </c>
      <c r="H279" s="10">
        <v>7.0</v>
      </c>
      <c r="I279" s="10">
        <f t="shared" si="23"/>
        <v>21</v>
      </c>
      <c r="J279" s="7" t="s">
        <v>28</v>
      </c>
      <c r="K279" s="14" t="s">
        <v>29</v>
      </c>
      <c r="L279" s="7" t="s">
        <v>19</v>
      </c>
      <c r="M279" s="7"/>
      <c r="N279" s="7"/>
      <c r="O279" s="7"/>
    </row>
    <row r="280">
      <c r="A280" s="12"/>
      <c r="B280" s="12"/>
      <c r="C280" s="7" t="s">
        <v>20</v>
      </c>
      <c r="D280" s="8">
        <v>46115.0</v>
      </c>
      <c r="E280" s="9">
        <v>0.5208333333333334</v>
      </c>
      <c r="F280" s="10">
        <v>4.0</v>
      </c>
      <c r="G280" s="11">
        <v>10.0</v>
      </c>
      <c r="H280" s="10">
        <v>14.0</v>
      </c>
      <c r="I280" s="10">
        <f t="shared" si="23"/>
        <v>28</v>
      </c>
      <c r="J280" s="7" t="s">
        <v>28</v>
      </c>
      <c r="K280" s="10" t="s">
        <v>36</v>
      </c>
      <c r="L280" s="7" t="s">
        <v>19</v>
      </c>
      <c r="M280" s="7"/>
      <c r="N280" s="7"/>
      <c r="O280" s="7"/>
    </row>
    <row r="281">
      <c r="A281" s="5">
        <v>110.0</v>
      </c>
      <c r="B281" s="6" t="s">
        <v>31</v>
      </c>
      <c r="C281" s="7" t="s">
        <v>16</v>
      </c>
      <c r="D281" s="8">
        <v>46115.0</v>
      </c>
      <c r="E281" s="9">
        <v>0.5208333333333334</v>
      </c>
      <c r="F281" s="10">
        <v>9.0</v>
      </c>
      <c r="G281" s="11">
        <v>10.0</v>
      </c>
      <c r="H281" s="10">
        <v>8.0</v>
      </c>
      <c r="I281" s="10">
        <f t="shared" si="23"/>
        <v>27</v>
      </c>
      <c r="J281" s="7" t="s">
        <v>28</v>
      </c>
      <c r="K281" s="26" t="s">
        <v>18</v>
      </c>
      <c r="L281" s="7" t="s">
        <v>19</v>
      </c>
      <c r="M281" s="7"/>
      <c r="N281" s="7"/>
      <c r="O281" s="7"/>
    </row>
    <row r="282">
      <c r="A282" s="12"/>
      <c r="B282" s="12"/>
      <c r="C282" s="7" t="s">
        <v>20</v>
      </c>
      <c r="D282" s="8">
        <v>46115.0</v>
      </c>
      <c r="E282" s="9">
        <v>0.5208333333333334</v>
      </c>
      <c r="F282" s="10">
        <v>9.0</v>
      </c>
      <c r="G282" s="11">
        <v>10.0</v>
      </c>
      <c r="H282" s="10">
        <v>10.0</v>
      </c>
      <c r="I282" s="10">
        <f t="shared" si="23"/>
        <v>29</v>
      </c>
      <c r="J282" s="7" t="s">
        <v>28</v>
      </c>
      <c r="K282" s="10" t="s">
        <v>18</v>
      </c>
      <c r="L282" s="7" t="s">
        <v>23</v>
      </c>
      <c r="M282" s="20" t="s">
        <v>45</v>
      </c>
      <c r="N282" s="7" t="s">
        <v>28</v>
      </c>
      <c r="O282" s="10">
        <v>1.0</v>
      </c>
    </row>
    <row r="283">
      <c r="A283" s="5">
        <v>111.0</v>
      </c>
      <c r="B283" s="15" t="s">
        <v>33</v>
      </c>
      <c r="C283" s="7" t="s">
        <v>16</v>
      </c>
      <c r="D283" s="8">
        <v>46115.0</v>
      </c>
      <c r="E283" s="9">
        <v>0.5208333333333334</v>
      </c>
      <c r="F283" s="10">
        <v>12.0</v>
      </c>
      <c r="G283" s="11">
        <v>10.0</v>
      </c>
      <c r="H283" s="10">
        <v>9.0</v>
      </c>
      <c r="I283" s="10">
        <f t="shared" si="23"/>
        <v>31</v>
      </c>
      <c r="J283" s="7" t="s">
        <v>28</v>
      </c>
      <c r="K283" s="10" t="s">
        <v>18</v>
      </c>
      <c r="L283" s="7" t="s">
        <v>19</v>
      </c>
      <c r="M283" s="7"/>
      <c r="N283" s="7"/>
      <c r="O283" s="7"/>
    </row>
    <row r="284">
      <c r="A284" s="12"/>
      <c r="B284" s="12"/>
      <c r="C284" s="7" t="s">
        <v>20</v>
      </c>
      <c r="D284" s="8">
        <v>46115.0</v>
      </c>
      <c r="E284" s="9">
        <v>0.5208333333333334</v>
      </c>
      <c r="F284" s="10">
        <v>12.0</v>
      </c>
      <c r="G284" s="11">
        <v>10.0</v>
      </c>
      <c r="H284" s="10">
        <v>8.0</v>
      </c>
      <c r="I284" s="10">
        <f t="shared" si="23"/>
        <v>30</v>
      </c>
      <c r="J284" s="7" t="s">
        <v>28</v>
      </c>
      <c r="K284" s="28" t="s">
        <v>18</v>
      </c>
      <c r="L284" s="7" t="s">
        <v>23</v>
      </c>
      <c r="M284" s="26" t="s">
        <v>34</v>
      </c>
      <c r="N284" s="7" t="s">
        <v>28</v>
      </c>
      <c r="O284" s="10">
        <v>1.0</v>
      </c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>
      <c r="A286" s="4" t="s">
        <v>1</v>
      </c>
      <c r="B286" s="4" t="s">
        <v>2</v>
      </c>
      <c r="C286" s="4" t="s">
        <v>3</v>
      </c>
      <c r="D286" s="4" t="s">
        <v>4</v>
      </c>
      <c r="E286" s="4" t="s">
        <v>5</v>
      </c>
      <c r="F286" s="4" t="s">
        <v>6</v>
      </c>
      <c r="G286" s="4" t="s">
        <v>7</v>
      </c>
      <c r="H286" s="4" t="s">
        <v>8</v>
      </c>
      <c r="I286" s="25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10</v>
      </c>
      <c r="O286" s="4" t="s">
        <v>14</v>
      </c>
    </row>
    <row r="287">
      <c r="A287" s="5">
        <v>112.0</v>
      </c>
      <c r="B287" s="6" t="s">
        <v>15</v>
      </c>
      <c r="C287" s="7" t="s">
        <v>16</v>
      </c>
      <c r="D287" s="8">
        <v>46115.0</v>
      </c>
      <c r="E287" s="9">
        <v>0.7708333333333334</v>
      </c>
      <c r="F287" s="10">
        <v>4.0</v>
      </c>
      <c r="G287" s="11">
        <v>10.0</v>
      </c>
      <c r="H287" s="10">
        <v>16.0</v>
      </c>
      <c r="I287" s="10">
        <f t="shared" ref="I287:I296" si="24">F287+G287+H287</f>
        <v>30</v>
      </c>
      <c r="J287" s="7" t="s">
        <v>28</v>
      </c>
      <c r="K287" s="10" t="s">
        <v>18</v>
      </c>
      <c r="L287" s="7" t="s">
        <v>19</v>
      </c>
      <c r="M287" s="7"/>
      <c r="N287" s="7"/>
      <c r="O287" s="7"/>
    </row>
    <row r="288">
      <c r="A288" s="12"/>
      <c r="B288" s="12"/>
      <c r="C288" s="7" t="s">
        <v>20</v>
      </c>
      <c r="D288" s="8">
        <v>46115.0</v>
      </c>
      <c r="E288" s="9">
        <v>0.7708333333333334</v>
      </c>
      <c r="F288" s="10">
        <v>4.0</v>
      </c>
      <c r="G288" s="11">
        <v>10.0</v>
      </c>
      <c r="H288" s="10">
        <v>18.0</v>
      </c>
      <c r="I288" s="10">
        <f t="shared" si="24"/>
        <v>32</v>
      </c>
      <c r="J288" s="7" t="s">
        <v>28</v>
      </c>
      <c r="K288" s="14" t="s">
        <v>22</v>
      </c>
      <c r="L288" s="7" t="s">
        <v>19</v>
      </c>
      <c r="M288" s="7"/>
      <c r="N288" s="7"/>
      <c r="O288" s="7"/>
    </row>
    <row r="289">
      <c r="A289" s="5">
        <v>113.0</v>
      </c>
      <c r="B289" s="6" t="s">
        <v>25</v>
      </c>
      <c r="C289" s="7" t="s">
        <v>16</v>
      </c>
      <c r="D289" s="8">
        <v>46115.0</v>
      </c>
      <c r="E289" s="9">
        <v>0.7708333333333334</v>
      </c>
      <c r="F289" s="10">
        <v>1.0</v>
      </c>
      <c r="G289" s="11">
        <v>10.0</v>
      </c>
      <c r="H289" s="10">
        <v>12.0</v>
      </c>
      <c r="I289" s="10">
        <f t="shared" si="24"/>
        <v>23</v>
      </c>
      <c r="J289" s="7" t="s">
        <v>28</v>
      </c>
      <c r="K289" s="10" t="s">
        <v>18</v>
      </c>
      <c r="L289" s="7" t="s">
        <v>19</v>
      </c>
      <c r="M289" s="7"/>
      <c r="N289" s="7"/>
      <c r="O289" s="7"/>
    </row>
    <row r="290">
      <c r="A290" s="12"/>
      <c r="B290" s="12"/>
      <c r="C290" s="7" t="s">
        <v>20</v>
      </c>
      <c r="D290" s="8">
        <v>46115.0</v>
      </c>
      <c r="E290" s="9">
        <v>0.7708333333333334</v>
      </c>
      <c r="F290" s="10">
        <v>1.0</v>
      </c>
      <c r="G290" s="11">
        <v>10.0</v>
      </c>
      <c r="H290" s="10">
        <v>20.0</v>
      </c>
      <c r="I290" s="10">
        <f t="shared" si="24"/>
        <v>31</v>
      </c>
      <c r="J290" s="7" t="s">
        <v>17</v>
      </c>
      <c r="K290" s="10" t="s">
        <v>18</v>
      </c>
      <c r="L290" s="7" t="s">
        <v>19</v>
      </c>
      <c r="M290" s="7"/>
      <c r="N290" s="7"/>
      <c r="O290" s="7"/>
    </row>
    <row r="291">
      <c r="A291" s="5">
        <v>114.0</v>
      </c>
      <c r="B291" s="6" t="s">
        <v>27</v>
      </c>
      <c r="C291" s="7" t="s">
        <v>16</v>
      </c>
      <c r="D291" s="8">
        <v>46115.0</v>
      </c>
      <c r="E291" s="9">
        <v>0.7708333333333334</v>
      </c>
      <c r="F291" s="10">
        <v>4.0</v>
      </c>
      <c r="G291" s="11">
        <v>10.0</v>
      </c>
      <c r="H291" s="10">
        <v>9.0</v>
      </c>
      <c r="I291" s="10">
        <f t="shared" si="24"/>
        <v>23</v>
      </c>
      <c r="J291" s="7" t="s">
        <v>28</v>
      </c>
      <c r="K291" s="14" t="s">
        <v>29</v>
      </c>
      <c r="L291" s="7" t="s">
        <v>19</v>
      </c>
      <c r="M291" s="7"/>
      <c r="N291" s="7"/>
      <c r="O291" s="7"/>
    </row>
    <row r="292">
      <c r="A292" s="12"/>
      <c r="B292" s="12"/>
      <c r="C292" s="7" t="s">
        <v>20</v>
      </c>
      <c r="D292" s="8">
        <v>46115.0</v>
      </c>
      <c r="E292" s="9">
        <v>0.7708333333333334</v>
      </c>
      <c r="F292" s="10">
        <v>4.0</v>
      </c>
      <c r="G292" s="11">
        <v>10.0</v>
      </c>
      <c r="H292" s="10">
        <v>16.0</v>
      </c>
      <c r="I292" s="10">
        <f t="shared" si="24"/>
        <v>30</v>
      </c>
      <c r="J292" s="7" t="s">
        <v>17</v>
      </c>
      <c r="K292" s="10" t="s">
        <v>36</v>
      </c>
      <c r="L292" s="7" t="s">
        <v>19</v>
      </c>
      <c r="M292" s="7"/>
      <c r="N292" s="7"/>
      <c r="O292" s="7"/>
    </row>
    <row r="293">
      <c r="A293" s="5">
        <v>115.0</v>
      </c>
      <c r="B293" s="6" t="s">
        <v>31</v>
      </c>
      <c r="C293" s="7" t="s">
        <v>16</v>
      </c>
      <c r="D293" s="8">
        <v>46115.0</v>
      </c>
      <c r="E293" s="9">
        <v>0.7708333333333334</v>
      </c>
      <c r="F293" s="10">
        <v>10.0</v>
      </c>
      <c r="G293" s="11">
        <v>10.0</v>
      </c>
      <c r="H293" s="10">
        <v>9.0</v>
      </c>
      <c r="I293" s="10">
        <f t="shared" si="24"/>
        <v>29</v>
      </c>
      <c r="J293" s="7" t="s">
        <v>28</v>
      </c>
      <c r="K293" s="26" t="s">
        <v>18</v>
      </c>
      <c r="L293" s="7" t="s">
        <v>19</v>
      </c>
      <c r="M293" s="7"/>
      <c r="N293" s="7"/>
      <c r="O293" s="7"/>
    </row>
    <row r="294">
      <c r="A294" s="12"/>
      <c r="B294" s="12"/>
      <c r="C294" s="7" t="s">
        <v>20</v>
      </c>
      <c r="D294" s="8">
        <v>46115.0</v>
      </c>
      <c r="E294" s="9">
        <v>0.7708333333333334</v>
      </c>
      <c r="F294" s="10">
        <v>10.0</v>
      </c>
      <c r="G294" s="11">
        <v>10.0</v>
      </c>
      <c r="H294" s="10">
        <v>12.0</v>
      </c>
      <c r="I294" s="10">
        <f t="shared" si="24"/>
        <v>32</v>
      </c>
      <c r="J294" s="7" t="s">
        <v>17</v>
      </c>
      <c r="K294" s="10" t="s">
        <v>18</v>
      </c>
      <c r="L294" s="7" t="s">
        <v>19</v>
      </c>
      <c r="M294" s="7"/>
      <c r="N294" s="7"/>
      <c r="O294" s="7"/>
    </row>
    <row r="295">
      <c r="A295" s="5">
        <v>116.0</v>
      </c>
      <c r="B295" s="15" t="s">
        <v>33</v>
      </c>
      <c r="C295" s="7" t="s">
        <v>16</v>
      </c>
      <c r="D295" s="8">
        <v>46115.0</v>
      </c>
      <c r="E295" s="9">
        <v>0.7708333333333334</v>
      </c>
      <c r="F295" s="10">
        <v>14.0</v>
      </c>
      <c r="G295" s="11">
        <v>10.0</v>
      </c>
      <c r="H295" s="10">
        <v>12.0</v>
      </c>
      <c r="I295" s="10">
        <f t="shared" si="24"/>
        <v>36</v>
      </c>
      <c r="J295" s="7" t="s">
        <v>28</v>
      </c>
      <c r="K295" s="10" t="s">
        <v>18</v>
      </c>
      <c r="L295" s="7" t="s">
        <v>19</v>
      </c>
      <c r="M295" s="7"/>
      <c r="N295" s="7"/>
      <c r="O295" s="7"/>
    </row>
    <row r="296">
      <c r="A296" s="12"/>
      <c r="B296" s="12"/>
      <c r="C296" s="7" t="s">
        <v>20</v>
      </c>
      <c r="D296" s="8">
        <v>46115.0</v>
      </c>
      <c r="E296" s="9">
        <v>0.7708333333333334</v>
      </c>
      <c r="F296" s="10">
        <v>14.0</v>
      </c>
      <c r="G296" s="11">
        <v>10.0</v>
      </c>
      <c r="H296" s="10">
        <v>8.0</v>
      </c>
      <c r="I296" s="10">
        <f t="shared" si="24"/>
        <v>32</v>
      </c>
      <c r="J296" s="7" t="s">
        <v>28</v>
      </c>
      <c r="K296" s="28" t="s">
        <v>18</v>
      </c>
      <c r="L296" s="7" t="s">
        <v>19</v>
      </c>
      <c r="M296" s="7"/>
      <c r="N296" s="7"/>
      <c r="O296" s="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</row>
    <row r="298">
      <c r="A298" s="24" t="s">
        <v>59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</row>
    <row r="299">
      <c r="A299" s="4" t="s">
        <v>1</v>
      </c>
      <c r="B299" s="4" t="s">
        <v>2</v>
      </c>
      <c r="C299" s="4" t="s">
        <v>3</v>
      </c>
      <c r="D299" s="4" t="s">
        <v>4</v>
      </c>
      <c r="E299" s="4" t="s">
        <v>5</v>
      </c>
      <c r="F299" s="4" t="s">
        <v>6</v>
      </c>
      <c r="G299" s="4" t="s">
        <v>7</v>
      </c>
      <c r="H299" s="4" t="s">
        <v>8</v>
      </c>
      <c r="I299" s="4" t="s">
        <v>9</v>
      </c>
      <c r="J299" s="4" t="s">
        <v>10</v>
      </c>
      <c r="K299" s="4" t="s">
        <v>11</v>
      </c>
      <c r="L299" s="4" t="s">
        <v>12</v>
      </c>
      <c r="M299" s="4" t="s">
        <v>13</v>
      </c>
      <c r="N299" s="4" t="s">
        <v>10</v>
      </c>
      <c r="O299" s="4" t="s">
        <v>14</v>
      </c>
    </row>
    <row r="300">
      <c r="A300" s="5">
        <v>117.0</v>
      </c>
      <c r="B300" s="6" t="s">
        <v>15</v>
      </c>
      <c r="C300" s="7" t="s">
        <v>16</v>
      </c>
      <c r="D300" s="8">
        <v>46114.0</v>
      </c>
      <c r="E300" s="9">
        <v>0.3125</v>
      </c>
      <c r="F300" s="10">
        <v>6.0</v>
      </c>
      <c r="G300" s="11">
        <v>10.0</v>
      </c>
      <c r="H300" s="10">
        <v>20.0</v>
      </c>
      <c r="I300" s="10">
        <f t="shared" ref="I300:I309" si="25">F300+G300+H300</f>
        <v>36</v>
      </c>
      <c r="J300" s="7" t="s">
        <v>17</v>
      </c>
      <c r="K300" s="10" t="s">
        <v>18</v>
      </c>
      <c r="L300" s="7" t="s">
        <v>19</v>
      </c>
      <c r="M300" s="7"/>
      <c r="N300" s="7"/>
      <c r="O300" s="7"/>
    </row>
    <row r="301">
      <c r="A301" s="12"/>
      <c r="B301" s="12"/>
      <c r="C301" s="7" t="s">
        <v>20</v>
      </c>
      <c r="D301" s="8">
        <v>46114.0</v>
      </c>
      <c r="E301" s="9">
        <v>0.3125</v>
      </c>
      <c r="F301" s="10">
        <v>6.0</v>
      </c>
      <c r="G301" s="11">
        <v>10.0</v>
      </c>
      <c r="H301" s="10">
        <v>26.0</v>
      </c>
      <c r="I301" s="10">
        <f t="shared" si="25"/>
        <v>42</v>
      </c>
      <c r="J301" s="7" t="s">
        <v>21</v>
      </c>
      <c r="K301" s="14" t="s">
        <v>22</v>
      </c>
      <c r="L301" s="7" t="s">
        <v>23</v>
      </c>
      <c r="M301" s="26" t="s">
        <v>24</v>
      </c>
      <c r="N301" s="7" t="s">
        <v>17</v>
      </c>
      <c r="O301" s="10">
        <v>2.0</v>
      </c>
    </row>
    <row r="302">
      <c r="A302" s="5">
        <v>118.0</v>
      </c>
      <c r="B302" s="6" t="s">
        <v>25</v>
      </c>
      <c r="C302" s="7" t="s">
        <v>16</v>
      </c>
      <c r="D302" s="8">
        <v>46114.0</v>
      </c>
      <c r="E302" s="9">
        <v>0.3125</v>
      </c>
      <c r="F302" s="10">
        <v>1.0</v>
      </c>
      <c r="G302" s="11">
        <v>10.0</v>
      </c>
      <c r="H302" s="10">
        <v>16.0</v>
      </c>
      <c r="I302" s="10">
        <f t="shared" si="25"/>
        <v>27</v>
      </c>
      <c r="J302" s="7" t="s">
        <v>17</v>
      </c>
      <c r="K302" s="10" t="s">
        <v>18</v>
      </c>
      <c r="L302" s="7" t="s">
        <v>19</v>
      </c>
      <c r="M302" s="7"/>
      <c r="N302" s="7"/>
      <c r="O302" s="7"/>
    </row>
    <row r="303">
      <c r="A303" s="12"/>
      <c r="B303" s="12"/>
      <c r="C303" s="7" t="s">
        <v>20</v>
      </c>
      <c r="D303" s="8">
        <v>46114.0</v>
      </c>
      <c r="E303" s="9">
        <v>0.3125</v>
      </c>
      <c r="F303" s="10">
        <v>1.0</v>
      </c>
      <c r="G303" s="11">
        <v>10.0</v>
      </c>
      <c r="H303" s="10">
        <v>30.0</v>
      </c>
      <c r="I303" s="10">
        <f t="shared" si="25"/>
        <v>41</v>
      </c>
      <c r="J303" s="7" t="s">
        <v>21</v>
      </c>
      <c r="K303" s="10" t="s">
        <v>18</v>
      </c>
      <c r="L303" s="7" t="s">
        <v>23</v>
      </c>
      <c r="M303" s="14" t="s">
        <v>55</v>
      </c>
      <c r="N303" s="7" t="s">
        <v>17</v>
      </c>
      <c r="O303" s="10">
        <v>4.0</v>
      </c>
    </row>
    <row r="304">
      <c r="A304" s="5">
        <v>119.0</v>
      </c>
      <c r="B304" s="6" t="s">
        <v>27</v>
      </c>
      <c r="C304" s="7" t="s">
        <v>16</v>
      </c>
      <c r="D304" s="8">
        <v>46114.0</v>
      </c>
      <c r="E304" s="9">
        <v>0.3125</v>
      </c>
      <c r="F304" s="10">
        <v>10.0</v>
      </c>
      <c r="G304" s="11">
        <v>10.0</v>
      </c>
      <c r="H304" s="10">
        <v>8.0</v>
      </c>
      <c r="I304" s="10">
        <f t="shared" si="25"/>
        <v>28</v>
      </c>
      <c r="J304" s="7" t="s">
        <v>28</v>
      </c>
      <c r="K304" s="14" t="s">
        <v>29</v>
      </c>
      <c r="L304" s="7" t="s">
        <v>19</v>
      </c>
      <c r="M304" s="7"/>
      <c r="N304" s="7"/>
      <c r="O304" s="7"/>
    </row>
    <row r="305">
      <c r="A305" s="12"/>
      <c r="B305" s="12"/>
      <c r="C305" s="7" t="s">
        <v>20</v>
      </c>
      <c r="D305" s="8">
        <v>46114.0</v>
      </c>
      <c r="E305" s="9">
        <v>0.3125</v>
      </c>
      <c r="F305" s="10">
        <v>10.0</v>
      </c>
      <c r="G305" s="11">
        <v>10.0</v>
      </c>
      <c r="H305" s="10">
        <v>22.0</v>
      </c>
      <c r="I305" s="10">
        <f t="shared" si="25"/>
        <v>42</v>
      </c>
      <c r="J305" s="7" t="s">
        <v>21</v>
      </c>
      <c r="K305" s="10" t="s">
        <v>36</v>
      </c>
      <c r="L305" s="7" t="s">
        <v>19</v>
      </c>
      <c r="M305" s="7"/>
      <c r="N305" s="7"/>
      <c r="O305" s="7"/>
    </row>
    <row r="306">
      <c r="A306" s="5">
        <v>120.0</v>
      </c>
      <c r="B306" s="6" t="s">
        <v>31</v>
      </c>
      <c r="C306" s="7" t="s">
        <v>16</v>
      </c>
      <c r="D306" s="8">
        <v>46114.0</v>
      </c>
      <c r="E306" s="9">
        <v>0.3125</v>
      </c>
      <c r="F306" s="10">
        <v>14.0</v>
      </c>
      <c r="G306" s="11">
        <v>10.0</v>
      </c>
      <c r="H306" s="10">
        <v>12.0</v>
      </c>
      <c r="I306" s="10">
        <f t="shared" si="25"/>
        <v>36</v>
      </c>
      <c r="J306" s="7" t="s">
        <v>28</v>
      </c>
      <c r="K306" s="26" t="s">
        <v>60</v>
      </c>
      <c r="L306" s="7" t="s">
        <v>19</v>
      </c>
      <c r="M306" s="7"/>
      <c r="N306" s="7"/>
      <c r="O306" s="7"/>
    </row>
    <row r="307">
      <c r="A307" s="12"/>
      <c r="B307" s="12"/>
      <c r="C307" s="7" t="s">
        <v>20</v>
      </c>
      <c r="D307" s="8">
        <v>46114.0</v>
      </c>
      <c r="E307" s="9">
        <v>0.3125</v>
      </c>
      <c r="F307" s="10">
        <v>14.0</v>
      </c>
      <c r="G307" s="11">
        <v>10.0</v>
      </c>
      <c r="H307" s="10">
        <v>20.0</v>
      </c>
      <c r="I307" s="10">
        <f t="shared" si="25"/>
        <v>44</v>
      </c>
      <c r="J307" s="7" t="s">
        <v>21</v>
      </c>
      <c r="K307" s="10" t="s">
        <v>18</v>
      </c>
      <c r="L307" s="7"/>
      <c r="M307" s="7"/>
      <c r="N307" s="7"/>
      <c r="O307" s="7"/>
    </row>
    <row r="308">
      <c r="A308" s="5">
        <v>121.0</v>
      </c>
      <c r="B308" s="15" t="s">
        <v>33</v>
      </c>
      <c r="C308" s="7" t="s">
        <v>16</v>
      </c>
      <c r="D308" s="8">
        <v>46114.0</v>
      </c>
      <c r="E308" s="9">
        <v>0.3125</v>
      </c>
      <c r="F308" s="10">
        <v>22.0</v>
      </c>
      <c r="G308" s="11">
        <v>10.0</v>
      </c>
      <c r="H308" s="10">
        <v>16.0</v>
      </c>
      <c r="I308" s="10">
        <f t="shared" si="25"/>
        <v>48</v>
      </c>
      <c r="J308" s="7" t="s">
        <v>21</v>
      </c>
      <c r="K308" s="10" t="s">
        <v>18</v>
      </c>
      <c r="L308" s="7" t="s">
        <v>19</v>
      </c>
      <c r="M308" s="7"/>
      <c r="N308" s="7"/>
      <c r="O308" s="7"/>
    </row>
    <row r="309">
      <c r="A309" s="12"/>
      <c r="B309" s="12"/>
      <c r="C309" s="7" t="s">
        <v>20</v>
      </c>
      <c r="D309" s="8">
        <v>46114.0</v>
      </c>
      <c r="E309" s="9">
        <v>0.3125</v>
      </c>
      <c r="F309" s="10">
        <v>22.0</v>
      </c>
      <c r="G309" s="11">
        <v>10.0</v>
      </c>
      <c r="H309" s="10">
        <v>12.0</v>
      </c>
      <c r="I309" s="10">
        <f t="shared" si="25"/>
        <v>44</v>
      </c>
      <c r="J309" s="7" t="s">
        <v>21</v>
      </c>
      <c r="K309" s="28" t="s">
        <v>18</v>
      </c>
      <c r="L309" s="7" t="s">
        <v>23</v>
      </c>
      <c r="M309" s="14" t="s">
        <v>34</v>
      </c>
      <c r="N309" s="7" t="s">
        <v>17</v>
      </c>
      <c r="O309" s="10">
        <v>2.0</v>
      </c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>
      <c r="A311" s="4" t="s">
        <v>1</v>
      </c>
      <c r="B311" s="4" t="s">
        <v>2</v>
      </c>
      <c r="C311" s="4" t="s">
        <v>3</v>
      </c>
      <c r="D311" s="4" t="s">
        <v>4</v>
      </c>
      <c r="E311" s="4" t="s">
        <v>5</v>
      </c>
      <c r="F311" s="4" t="s">
        <v>6</v>
      </c>
      <c r="G311" s="4" t="s">
        <v>7</v>
      </c>
      <c r="H311" s="4" t="s">
        <v>8</v>
      </c>
      <c r="I311" s="4" t="s">
        <v>9</v>
      </c>
      <c r="J311" s="4" t="s">
        <v>10</v>
      </c>
      <c r="K311" s="4" t="s">
        <v>11</v>
      </c>
      <c r="L311" s="4" t="s">
        <v>12</v>
      </c>
      <c r="M311" s="4" t="s">
        <v>13</v>
      </c>
      <c r="N311" s="4" t="s">
        <v>10</v>
      </c>
      <c r="O311" s="4" t="s">
        <v>14</v>
      </c>
    </row>
    <row r="312">
      <c r="A312" s="5">
        <v>122.0</v>
      </c>
      <c r="B312" s="6" t="s">
        <v>15</v>
      </c>
      <c r="C312" s="7" t="s">
        <v>16</v>
      </c>
      <c r="D312" s="8">
        <v>46114.0</v>
      </c>
      <c r="E312" s="9">
        <v>0.5208333333333334</v>
      </c>
      <c r="F312" s="10">
        <v>6.0</v>
      </c>
      <c r="G312" s="11">
        <v>10.0</v>
      </c>
      <c r="H312" s="10">
        <v>16.0</v>
      </c>
      <c r="I312" s="10">
        <f t="shared" ref="I312:I321" si="26">F312+G312+H312</f>
        <v>32</v>
      </c>
      <c r="J312" s="7" t="s">
        <v>28</v>
      </c>
      <c r="K312" s="10" t="s">
        <v>18</v>
      </c>
      <c r="L312" s="7" t="s">
        <v>19</v>
      </c>
      <c r="M312" s="7"/>
      <c r="N312" s="7"/>
      <c r="O312" s="7"/>
    </row>
    <row r="313">
      <c r="A313" s="12"/>
      <c r="B313" s="12"/>
      <c r="C313" s="7" t="s">
        <v>20</v>
      </c>
      <c r="D313" s="8">
        <v>46114.0</v>
      </c>
      <c r="E313" s="9">
        <v>0.5208333333333334</v>
      </c>
      <c r="F313" s="10">
        <v>6.0</v>
      </c>
      <c r="G313" s="11">
        <v>10.0</v>
      </c>
      <c r="H313" s="10">
        <v>24.0</v>
      </c>
      <c r="I313" s="10">
        <f t="shared" si="26"/>
        <v>40</v>
      </c>
      <c r="J313" s="7" t="s">
        <v>17</v>
      </c>
      <c r="K313" s="14" t="s">
        <v>22</v>
      </c>
      <c r="L313" s="7" t="s">
        <v>23</v>
      </c>
      <c r="M313" s="26" t="s">
        <v>24</v>
      </c>
      <c r="N313" s="7"/>
      <c r="O313" s="10">
        <v>2.0</v>
      </c>
    </row>
    <row r="314">
      <c r="A314" s="5">
        <v>123.0</v>
      </c>
      <c r="B314" s="6" t="s">
        <v>25</v>
      </c>
      <c r="C314" s="7" t="s">
        <v>16</v>
      </c>
      <c r="D314" s="8">
        <v>46114.0</v>
      </c>
      <c r="E314" s="9">
        <v>0.5208333333333334</v>
      </c>
      <c r="F314" s="10">
        <v>1.0</v>
      </c>
      <c r="G314" s="11">
        <v>10.0</v>
      </c>
      <c r="H314" s="10">
        <v>12.0</v>
      </c>
      <c r="I314" s="10">
        <f t="shared" si="26"/>
        <v>23</v>
      </c>
      <c r="J314" s="7" t="s">
        <v>28</v>
      </c>
      <c r="K314" s="10" t="s">
        <v>18</v>
      </c>
      <c r="L314" s="7" t="s">
        <v>19</v>
      </c>
      <c r="M314" s="7"/>
      <c r="N314" s="7"/>
      <c r="O314" s="7"/>
    </row>
    <row r="315">
      <c r="A315" s="12"/>
      <c r="B315" s="12"/>
      <c r="C315" s="7" t="s">
        <v>20</v>
      </c>
      <c r="D315" s="8">
        <v>46114.0</v>
      </c>
      <c r="E315" s="9">
        <v>0.5208333333333334</v>
      </c>
      <c r="F315" s="10">
        <v>1.0</v>
      </c>
      <c r="G315" s="11">
        <v>10.0</v>
      </c>
      <c r="H315" s="10">
        <v>28.0</v>
      </c>
      <c r="I315" s="10">
        <f t="shared" si="26"/>
        <v>39</v>
      </c>
      <c r="J315" s="7" t="s">
        <v>21</v>
      </c>
      <c r="K315" s="10" t="s">
        <v>18</v>
      </c>
      <c r="L315" s="7" t="s">
        <v>23</v>
      </c>
      <c r="M315" s="14" t="s">
        <v>26</v>
      </c>
      <c r="N315" s="7" t="s">
        <v>17</v>
      </c>
      <c r="O315" s="10">
        <v>4.0</v>
      </c>
    </row>
    <row r="316">
      <c r="A316" s="5">
        <v>124.0</v>
      </c>
      <c r="B316" s="6" t="s">
        <v>27</v>
      </c>
      <c r="C316" s="7" t="s">
        <v>16</v>
      </c>
      <c r="D316" s="8">
        <v>46114.0</v>
      </c>
      <c r="E316" s="9">
        <v>0.5208333333333334</v>
      </c>
      <c r="F316" s="10">
        <v>7.0</v>
      </c>
      <c r="G316" s="11">
        <v>10.0</v>
      </c>
      <c r="H316" s="10">
        <v>7.0</v>
      </c>
      <c r="I316" s="10">
        <f t="shared" si="26"/>
        <v>24</v>
      </c>
      <c r="J316" s="7" t="s">
        <v>28</v>
      </c>
      <c r="K316" s="14" t="s">
        <v>29</v>
      </c>
      <c r="L316" s="7" t="s">
        <v>19</v>
      </c>
      <c r="M316" s="7"/>
      <c r="N316" s="7"/>
      <c r="O316" s="7"/>
    </row>
    <row r="317">
      <c r="A317" s="12"/>
      <c r="B317" s="12"/>
      <c r="C317" s="7" t="s">
        <v>20</v>
      </c>
      <c r="D317" s="8">
        <v>46114.0</v>
      </c>
      <c r="E317" s="9">
        <v>0.5208333333333334</v>
      </c>
      <c r="F317" s="10">
        <v>7.0</v>
      </c>
      <c r="G317" s="11">
        <v>10.0</v>
      </c>
      <c r="H317" s="10">
        <v>20.0</v>
      </c>
      <c r="I317" s="10">
        <f t="shared" si="26"/>
        <v>37</v>
      </c>
      <c r="J317" s="7" t="s">
        <v>21</v>
      </c>
      <c r="K317" s="10" t="s">
        <v>36</v>
      </c>
      <c r="L317" s="7" t="s">
        <v>19</v>
      </c>
      <c r="M317" s="7"/>
      <c r="N317" s="7"/>
      <c r="O317" s="7"/>
    </row>
    <row r="318">
      <c r="A318" s="5">
        <v>125.0</v>
      </c>
      <c r="B318" s="6" t="s">
        <v>31</v>
      </c>
      <c r="C318" s="7" t="s">
        <v>16</v>
      </c>
      <c r="D318" s="8">
        <v>46114.0</v>
      </c>
      <c r="E318" s="9">
        <v>0.5208333333333334</v>
      </c>
      <c r="F318" s="10">
        <v>10.0</v>
      </c>
      <c r="G318" s="11">
        <v>10.0</v>
      </c>
      <c r="H318" s="10">
        <v>10.0</v>
      </c>
      <c r="I318" s="10">
        <f t="shared" si="26"/>
        <v>30</v>
      </c>
      <c r="J318" s="7" t="s">
        <v>28</v>
      </c>
      <c r="K318" s="26" t="s">
        <v>18</v>
      </c>
      <c r="L318" s="7" t="s">
        <v>19</v>
      </c>
      <c r="M318" s="7"/>
      <c r="N318" s="7"/>
      <c r="O318" s="7"/>
    </row>
    <row r="319">
      <c r="A319" s="12"/>
      <c r="B319" s="12"/>
      <c r="C319" s="7" t="s">
        <v>20</v>
      </c>
      <c r="D319" s="8">
        <v>46114.0</v>
      </c>
      <c r="E319" s="9">
        <v>0.5208333333333334</v>
      </c>
      <c r="F319" s="10">
        <v>10.0</v>
      </c>
      <c r="G319" s="11">
        <v>10.0</v>
      </c>
      <c r="H319" s="10">
        <v>14.0</v>
      </c>
      <c r="I319" s="10">
        <f t="shared" si="26"/>
        <v>34</v>
      </c>
      <c r="J319" s="7" t="s">
        <v>17</v>
      </c>
      <c r="K319" s="10" t="s">
        <v>18</v>
      </c>
      <c r="L319" s="7" t="s">
        <v>19</v>
      </c>
      <c r="M319" s="7"/>
      <c r="N319" s="7"/>
      <c r="O319" s="7"/>
    </row>
    <row r="320">
      <c r="A320" s="5">
        <v>126.0</v>
      </c>
      <c r="B320" s="15" t="s">
        <v>33</v>
      </c>
      <c r="C320" s="7" t="s">
        <v>16</v>
      </c>
      <c r="D320" s="8">
        <v>46114.0</v>
      </c>
      <c r="E320" s="9">
        <v>0.5208333333333334</v>
      </c>
      <c r="F320" s="10">
        <v>16.0</v>
      </c>
      <c r="G320" s="11">
        <v>10.0</v>
      </c>
      <c r="H320" s="10">
        <v>14.0</v>
      </c>
      <c r="I320" s="10">
        <f t="shared" si="26"/>
        <v>40</v>
      </c>
      <c r="J320" s="7" t="s">
        <v>17</v>
      </c>
      <c r="K320" s="10" t="s">
        <v>18</v>
      </c>
      <c r="L320" s="7" t="s">
        <v>19</v>
      </c>
      <c r="M320" s="7"/>
      <c r="N320" s="7"/>
      <c r="O320" s="7"/>
    </row>
    <row r="321">
      <c r="A321" s="12"/>
      <c r="B321" s="12"/>
      <c r="C321" s="7" t="s">
        <v>20</v>
      </c>
      <c r="D321" s="8">
        <v>46114.0</v>
      </c>
      <c r="E321" s="9">
        <v>0.5208333333333334</v>
      </c>
      <c r="F321" s="10">
        <v>16.0</v>
      </c>
      <c r="G321" s="11">
        <v>10.0</v>
      </c>
      <c r="H321" s="10">
        <v>9.0</v>
      </c>
      <c r="I321" s="10">
        <f t="shared" si="26"/>
        <v>35</v>
      </c>
      <c r="J321" s="7" t="s">
        <v>28</v>
      </c>
      <c r="K321" s="28" t="s">
        <v>18</v>
      </c>
      <c r="L321" s="7" t="s">
        <v>19</v>
      </c>
      <c r="M321" s="7"/>
      <c r="N321" s="7"/>
      <c r="O321" s="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>
      <c r="A323" s="4" t="s">
        <v>1</v>
      </c>
      <c r="B323" s="4" t="s">
        <v>2</v>
      </c>
      <c r="C323" s="4" t="s">
        <v>3</v>
      </c>
      <c r="D323" s="4" t="s">
        <v>4</v>
      </c>
      <c r="E323" s="4" t="s">
        <v>5</v>
      </c>
      <c r="F323" s="4" t="s">
        <v>6</v>
      </c>
      <c r="G323" s="4" t="s">
        <v>7</v>
      </c>
      <c r="H323" s="4" t="s">
        <v>8</v>
      </c>
      <c r="I323" s="4" t="s">
        <v>9</v>
      </c>
      <c r="J323" s="4" t="s">
        <v>10</v>
      </c>
      <c r="K323" s="4" t="s">
        <v>11</v>
      </c>
      <c r="L323" s="4" t="s">
        <v>12</v>
      </c>
      <c r="M323" s="4" t="s">
        <v>13</v>
      </c>
      <c r="N323" s="4" t="s">
        <v>10</v>
      </c>
      <c r="O323" s="4" t="s">
        <v>14</v>
      </c>
    </row>
    <row r="324">
      <c r="A324" s="5">
        <v>127.0</v>
      </c>
      <c r="B324" s="6" t="s">
        <v>15</v>
      </c>
      <c r="C324" s="7" t="s">
        <v>16</v>
      </c>
      <c r="D324" s="8">
        <v>46114.0</v>
      </c>
      <c r="E324" s="9">
        <v>0.7708333333333334</v>
      </c>
      <c r="F324" s="10">
        <v>8.0</v>
      </c>
      <c r="G324" s="11">
        <v>10.0</v>
      </c>
      <c r="H324" s="10">
        <v>18.0</v>
      </c>
      <c r="I324" s="10">
        <f t="shared" ref="I324:I333" si="27">F324+G324+H324</f>
        <v>36</v>
      </c>
      <c r="J324" s="7" t="s">
        <v>17</v>
      </c>
      <c r="K324" s="10" t="s">
        <v>18</v>
      </c>
      <c r="L324" s="7" t="s">
        <v>19</v>
      </c>
      <c r="M324" s="7"/>
      <c r="N324" s="7"/>
      <c r="O324" s="7"/>
    </row>
    <row r="325">
      <c r="A325" s="12"/>
      <c r="B325" s="12"/>
      <c r="C325" s="7" t="s">
        <v>20</v>
      </c>
      <c r="D325" s="8">
        <v>46114.0</v>
      </c>
      <c r="E325" s="9">
        <v>0.7708333333333334</v>
      </c>
      <c r="F325" s="10">
        <v>8.0</v>
      </c>
      <c r="G325" s="11">
        <v>10.0</v>
      </c>
      <c r="H325" s="10">
        <v>22.0</v>
      </c>
      <c r="I325" s="10">
        <f t="shared" si="27"/>
        <v>40</v>
      </c>
      <c r="J325" s="7" t="s">
        <v>17</v>
      </c>
      <c r="K325" s="14" t="s">
        <v>22</v>
      </c>
      <c r="L325" s="7" t="s">
        <v>19</v>
      </c>
      <c r="M325" s="7"/>
      <c r="N325" s="7"/>
      <c r="O325" s="7"/>
    </row>
    <row r="326">
      <c r="A326" s="5">
        <v>128.0</v>
      </c>
      <c r="B326" s="6" t="s">
        <v>25</v>
      </c>
      <c r="C326" s="7" t="s">
        <v>16</v>
      </c>
      <c r="D326" s="8">
        <v>46114.0</v>
      </c>
      <c r="E326" s="9">
        <v>0.7708333333333334</v>
      </c>
      <c r="F326" s="10">
        <v>1.0</v>
      </c>
      <c r="G326" s="11">
        <v>10.0</v>
      </c>
      <c r="H326" s="10">
        <v>14.0</v>
      </c>
      <c r="I326" s="10">
        <f t="shared" si="27"/>
        <v>25</v>
      </c>
      <c r="J326" s="7" t="s">
        <v>17</v>
      </c>
      <c r="K326" s="10" t="s">
        <v>18</v>
      </c>
      <c r="L326" s="7" t="s">
        <v>19</v>
      </c>
      <c r="M326" s="7"/>
      <c r="N326" s="7"/>
      <c r="O326" s="7"/>
    </row>
    <row r="327">
      <c r="A327" s="12"/>
      <c r="B327" s="12"/>
      <c r="C327" s="7" t="s">
        <v>20</v>
      </c>
      <c r="D327" s="8">
        <v>46114.0</v>
      </c>
      <c r="E327" s="9">
        <v>0.7708333333333334</v>
      </c>
      <c r="F327" s="10">
        <v>1.0</v>
      </c>
      <c r="G327" s="11">
        <v>10.0</v>
      </c>
      <c r="H327" s="10">
        <v>30.0</v>
      </c>
      <c r="I327" s="10">
        <f t="shared" si="27"/>
        <v>41</v>
      </c>
      <c r="J327" s="7" t="s">
        <v>21</v>
      </c>
      <c r="K327" s="10" t="s">
        <v>18</v>
      </c>
      <c r="L327" s="7" t="s">
        <v>23</v>
      </c>
      <c r="M327" s="14" t="s">
        <v>55</v>
      </c>
      <c r="N327" s="7"/>
      <c r="O327" s="10">
        <v>6.0</v>
      </c>
    </row>
    <row r="328">
      <c r="A328" s="5">
        <v>129.0</v>
      </c>
      <c r="B328" s="6" t="s">
        <v>27</v>
      </c>
      <c r="C328" s="7" t="s">
        <v>16</v>
      </c>
      <c r="D328" s="8">
        <v>46114.0</v>
      </c>
      <c r="E328" s="9">
        <v>0.7708333333333334</v>
      </c>
      <c r="F328" s="10">
        <v>10.0</v>
      </c>
      <c r="G328" s="11">
        <v>10.0</v>
      </c>
      <c r="H328" s="10">
        <v>9.0</v>
      </c>
      <c r="I328" s="10">
        <f t="shared" si="27"/>
        <v>29</v>
      </c>
      <c r="J328" s="7" t="s">
        <v>28</v>
      </c>
      <c r="K328" s="14" t="s">
        <v>29</v>
      </c>
      <c r="L328" s="7" t="s">
        <v>19</v>
      </c>
      <c r="M328" s="7"/>
      <c r="N328" s="7"/>
      <c r="O328" s="7"/>
    </row>
    <row r="329">
      <c r="A329" s="12"/>
      <c r="B329" s="12"/>
      <c r="C329" s="7" t="s">
        <v>20</v>
      </c>
      <c r="D329" s="8">
        <v>46114.0</v>
      </c>
      <c r="E329" s="9">
        <v>0.7708333333333334</v>
      </c>
      <c r="F329" s="10">
        <v>10.0</v>
      </c>
      <c r="G329" s="11">
        <v>10.0</v>
      </c>
      <c r="H329" s="10">
        <v>20.0</v>
      </c>
      <c r="I329" s="10">
        <f t="shared" si="27"/>
        <v>40</v>
      </c>
      <c r="J329" s="7" t="s">
        <v>21</v>
      </c>
      <c r="K329" s="10" t="s">
        <v>36</v>
      </c>
      <c r="L329" s="7" t="s">
        <v>19</v>
      </c>
      <c r="M329" s="7"/>
      <c r="N329" s="7"/>
      <c r="O329" s="7"/>
    </row>
    <row r="330">
      <c r="A330" s="5">
        <v>130.0</v>
      </c>
      <c r="B330" s="6" t="s">
        <v>31</v>
      </c>
      <c r="C330" s="7" t="s">
        <v>16</v>
      </c>
      <c r="D330" s="8">
        <v>46114.0</v>
      </c>
      <c r="E330" s="9">
        <v>0.7708333333333334</v>
      </c>
      <c r="F330" s="10">
        <v>14.0</v>
      </c>
      <c r="G330" s="11">
        <v>10.0</v>
      </c>
      <c r="H330" s="10">
        <v>14.0</v>
      </c>
      <c r="I330" s="10">
        <f t="shared" si="27"/>
        <v>38</v>
      </c>
      <c r="J330" s="7" t="s">
        <v>21</v>
      </c>
      <c r="K330" s="26" t="s">
        <v>18</v>
      </c>
      <c r="L330" s="7" t="s">
        <v>19</v>
      </c>
      <c r="M330" s="7"/>
      <c r="N330" s="7"/>
      <c r="O330" s="7"/>
    </row>
    <row r="331">
      <c r="A331" s="12"/>
      <c r="B331" s="12"/>
      <c r="C331" s="7" t="s">
        <v>20</v>
      </c>
      <c r="D331" s="8">
        <v>46114.0</v>
      </c>
      <c r="E331" s="9">
        <v>0.7708333333333334</v>
      </c>
      <c r="F331" s="10">
        <v>14.0</v>
      </c>
      <c r="G331" s="11">
        <v>10.0</v>
      </c>
      <c r="H331" s="10">
        <v>16.0</v>
      </c>
      <c r="I331" s="10">
        <f t="shared" si="27"/>
        <v>40</v>
      </c>
      <c r="J331" s="7" t="s">
        <v>21</v>
      </c>
      <c r="K331" s="10" t="s">
        <v>18</v>
      </c>
      <c r="L331" s="7" t="s">
        <v>23</v>
      </c>
      <c r="M331" s="10" t="s">
        <v>32</v>
      </c>
      <c r="N331" s="7"/>
      <c r="O331" s="10">
        <v>2.0</v>
      </c>
    </row>
    <row r="332">
      <c r="A332" s="5">
        <v>131.0</v>
      </c>
      <c r="B332" s="15" t="s">
        <v>33</v>
      </c>
      <c r="C332" s="7" t="s">
        <v>16</v>
      </c>
      <c r="D332" s="8">
        <v>46114.0</v>
      </c>
      <c r="E332" s="9">
        <v>0.7708333333333334</v>
      </c>
      <c r="F332" s="10">
        <v>20.0</v>
      </c>
      <c r="G332" s="11">
        <v>10.0</v>
      </c>
      <c r="H332" s="10">
        <v>16.0</v>
      </c>
      <c r="I332" s="10">
        <f t="shared" si="27"/>
        <v>46</v>
      </c>
      <c r="J332" s="7" t="s">
        <v>21</v>
      </c>
      <c r="K332" s="10" t="s">
        <v>18</v>
      </c>
      <c r="L332" s="7" t="s">
        <v>19</v>
      </c>
      <c r="M332" s="7"/>
      <c r="N332" s="7"/>
      <c r="O332" s="7"/>
    </row>
    <row r="333">
      <c r="A333" s="12"/>
      <c r="B333" s="12"/>
      <c r="C333" s="7" t="s">
        <v>20</v>
      </c>
      <c r="D333" s="8">
        <v>46114.0</v>
      </c>
      <c r="E333" s="9">
        <v>0.7708333333333334</v>
      </c>
      <c r="F333" s="10">
        <v>20.0</v>
      </c>
      <c r="G333" s="11">
        <v>10.0</v>
      </c>
      <c r="H333" s="10">
        <v>9.0</v>
      </c>
      <c r="I333" s="10">
        <f t="shared" si="27"/>
        <v>39</v>
      </c>
      <c r="J333" s="7" t="s">
        <v>28</v>
      </c>
      <c r="K333" s="28" t="s">
        <v>18</v>
      </c>
      <c r="L333" s="7" t="s">
        <v>23</v>
      </c>
      <c r="M333" s="26" t="s">
        <v>34</v>
      </c>
      <c r="N333" s="7"/>
      <c r="O333" s="10">
        <v>1.0</v>
      </c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</row>
    <row r="335">
      <c r="A335" s="24" t="s">
        <v>61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</row>
    <row r="336">
      <c r="A336" s="4" t="s">
        <v>1</v>
      </c>
      <c r="B336" s="4" t="s">
        <v>2</v>
      </c>
      <c r="C336" s="4" t="s">
        <v>3</v>
      </c>
      <c r="D336" s="4" t="s">
        <v>4</v>
      </c>
      <c r="E336" s="4" t="s">
        <v>5</v>
      </c>
      <c r="F336" s="4" t="s">
        <v>6</v>
      </c>
      <c r="G336" s="4" t="s">
        <v>7</v>
      </c>
      <c r="H336" s="4" t="s">
        <v>8</v>
      </c>
      <c r="I336" s="4" t="s">
        <v>9</v>
      </c>
      <c r="J336" s="4" t="s">
        <v>10</v>
      </c>
      <c r="K336" s="4" t="s">
        <v>11</v>
      </c>
      <c r="L336" s="4" t="s">
        <v>12</v>
      </c>
      <c r="M336" s="4" t="s">
        <v>13</v>
      </c>
      <c r="N336" s="4" t="s">
        <v>10</v>
      </c>
      <c r="O336" s="4" t="s">
        <v>14</v>
      </c>
    </row>
    <row r="337">
      <c r="A337" s="5">
        <v>132.0</v>
      </c>
      <c r="B337" s="6" t="s">
        <v>15</v>
      </c>
      <c r="C337" s="7" t="s">
        <v>16</v>
      </c>
      <c r="D337" s="8">
        <v>46113.0</v>
      </c>
      <c r="E337" s="9">
        <v>0.3125</v>
      </c>
      <c r="F337" s="10">
        <v>7.0</v>
      </c>
      <c r="G337" s="11">
        <v>10.0</v>
      </c>
      <c r="H337" s="10">
        <v>22.0</v>
      </c>
      <c r="I337" s="10">
        <f t="shared" ref="I337:I346" si="28">F337+G337+H337</f>
        <v>39</v>
      </c>
      <c r="J337" s="7" t="s">
        <v>17</v>
      </c>
      <c r="K337" s="10" t="s">
        <v>18</v>
      </c>
      <c r="L337" s="7" t="s">
        <v>19</v>
      </c>
      <c r="M337" s="7"/>
      <c r="N337" s="7"/>
      <c r="O337" s="7"/>
    </row>
    <row r="338">
      <c r="A338" s="12"/>
      <c r="B338" s="12"/>
      <c r="C338" s="7" t="s">
        <v>20</v>
      </c>
      <c r="D338" s="8">
        <v>46113.0</v>
      </c>
      <c r="E338" s="9">
        <v>0.3125</v>
      </c>
      <c r="F338" s="10">
        <v>7.0</v>
      </c>
      <c r="G338" s="11">
        <v>10.0</v>
      </c>
      <c r="H338" s="10">
        <v>26.0</v>
      </c>
      <c r="I338" s="10">
        <f t="shared" si="28"/>
        <v>43</v>
      </c>
      <c r="J338" s="7" t="s">
        <v>21</v>
      </c>
      <c r="K338" s="14" t="s">
        <v>22</v>
      </c>
      <c r="L338" s="7" t="s">
        <v>23</v>
      </c>
      <c r="M338" s="26" t="s">
        <v>24</v>
      </c>
      <c r="N338" s="7"/>
      <c r="O338" s="10">
        <v>2.0</v>
      </c>
    </row>
    <row r="339">
      <c r="A339" s="5">
        <v>133.0</v>
      </c>
      <c r="B339" s="6" t="s">
        <v>25</v>
      </c>
      <c r="C339" s="7" t="s">
        <v>16</v>
      </c>
      <c r="D339" s="8">
        <v>46113.0</v>
      </c>
      <c r="E339" s="9">
        <v>0.3125</v>
      </c>
      <c r="F339" s="10">
        <v>1.0</v>
      </c>
      <c r="G339" s="11">
        <v>10.0</v>
      </c>
      <c r="H339" s="10">
        <v>20.0</v>
      </c>
      <c r="I339" s="10">
        <f t="shared" si="28"/>
        <v>31</v>
      </c>
      <c r="J339" s="7" t="s">
        <v>17</v>
      </c>
      <c r="K339" s="10" t="s">
        <v>18</v>
      </c>
      <c r="L339" s="7" t="s">
        <v>19</v>
      </c>
      <c r="M339" s="7"/>
      <c r="N339" s="7"/>
      <c r="O339" s="7"/>
    </row>
    <row r="340">
      <c r="A340" s="12"/>
      <c r="B340" s="12"/>
      <c r="C340" s="7" t="s">
        <v>20</v>
      </c>
      <c r="D340" s="8">
        <v>46113.0</v>
      </c>
      <c r="E340" s="9">
        <v>0.3125</v>
      </c>
      <c r="F340" s="10">
        <v>1.0</v>
      </c>
      <c r="G340" s="11">
        <v>10.0</v>
      </c>
      <c r="H340" s="10">
        <v>26.0</v>
      </c>
      <c r="I340" s="10">
        <f t="shared" si="28"/>
        <v>37</v>
      </c>
      <c r="J340" s="7" t="s">
        <v>21</v>
      </c>
      <c r="K340" s="10" t="s">
        <v>18</v>
      </c>
      <c r="L340" s="7" t="s">
        <v>23</v>
      </c>
      <c r="M340" s="14" t="s">
        <v>24</v>
      </c>
      <c r="N340" s="7" t="s">
        <v>17</v>
      </c>
      <c r="O340" s="10">
        <v>2.0</v>
      </c>
    </row>
    <row r="341">
      <c r="A341" s="5">
        <v>134.0</v>
      </c>
      <c r="B341" s="6" t="s">
        <v>27</v>
      </c>
      <c r="C341" s="7" t="s">
        <v>16</v>
      </c>
      <c r="D341" s="8">
        <v>46113.0</v>
      </c>
      <c r="E341" s="9">
        <v>0.3125</v>
      </c>
      <c r="F341" s="10">
        <v>10.0</v>
      </c>
      <c r="G341" s="11">
        <v>10.0</v>
      </c>
      <c r="H341" s="10">
        <v>8.0</v>
      </c>
      <c r="I341" s="10">
        <f t="shared" si="28"/>
        <v>28</v>
      </c>
      <c r="J341" s="7" t="s">
        <v>28</v>
      </c>
      <c r="K341" s="14" t="s">
        <v>29</v>
      </c>
      <c r="L341" s="7" t="s">
        <v>19</v>
      </c>
      <c r="M341" s="7"/>
      <c r="N341" s="7"/>
      <c r="O341" s="7"/>
    </row>
    <row r="342">
      <c r="A342" s="12"/>
      <c r="B342" s="12"/>
      <c r="C342" s="7" t="s">
        <v>20</v>
      </c>
      <c r="D342" s="8">
        <v>46113.0</v>
      </c>
      <c r="E342" s="9">
        <v>0.3125</v>
      </c>
      <c r="F342" s="10">
        <v>10.0</v>
      </c>
      <c r="G342" s="11">
        <v>10.0</v>
      </c>
      <c r="H342" s="10">
        <v>20.0</v>
      </c>
      <c r="I342" s="10">
        <f t="shared" si="28"/>
        <v>40</v>
      </c>
      <c r="J342" s="7" t="s">
        <v>21</v>
      </c>
      <c r="K342" s="10" t="s">
        <v>36</v>
      </c>
      <c r="L342" s="7" t="s">
        <v>19</v>
      </c>
      <c r="M342" s="7"/>
      <c r="N342" s="7"/>
      <c r="O342" s="7"/>
    </row>
    <row r="343">
      <c r="A343" s="5">
        <v>135.0</v>
      </c>
      <c r="B343" s="6" t="s">
        <v>31</v>
      </c>
      <c r="C343" s="7" t="s">
        <v>16</v>
      </c>
      <c r="D343" s="8">
        <v>46113.0</v>
      </c>
      <c r="E343" s="9">
        <v>0.3125</v>
      </c>
      <c r="F343" s="10">
        <v>14.0</v>
      </c>
      <c r="G343" s="11">
        <v>10.0</v>
      </c>
      <c r="H343" s="10">
        <v>12.0</v>
      </c>
      <c r="I343" s="10">
        <f t="shared" si="28"/>
        <v>36</v>
      </c>
      <c r="J343" s="7" t="s">
        <v>28</v>
      </c>
      <c r="K343" s="26" t="s">
        <v>18</v>
      </c>
      <c r="L343" s="7" t="s">
        <v>19</v>
      </c>
      <c r="M343" s="7"/>
      <c r="N343" s="7"/>
      <c r="O343" s="7"/>
    </row>
    <row r="344">
      <c r="A344" s="12"/>
      <c r="B344" s="12"/>
      <c r="C344" s="7" t="s">
        <v>20</v>
      </c>
      <c r="D344" s="8">
        <v>46113.0</v>
      </c>
      <c r="E344" s="9">
        <v>0.3125</v>
      </c>
      <c r="F344" s="10">
        <v>14.0</v>
      </c>
      <c r="G344" s="11">
        <v>10.0</v>
      </c>
      <c r="H344" s="10">
        <v>18.0</v>
      </c>
      <c r="I344" s="10">
        <f t="shared" si="28"/>
        <v>42</v>
      </c>
      <c r="J344" s="7" t="s">
        <v>21</v>
      </c>
      <c r="K344" s="10" t="s">
        <v>18</v>
      </c>
      <c r="L344" s="7" t="s">
        <v>23</v>
      </c>
      <c r="M344" s="20" t="s">
        <v>45</v>
      </c>
      <c r="N344" s="7"/>
      <c r="O344" s="10">
        <v>2.0</v>
      </c>
    </row>
    <row r="345">
      <c r="A345" s="5">
        <v>136.0</v>
      </c>
      <c r="B345" s="15" t="s">
        <v>33</v>
      </c>
      <c r="C345" s="7" t="s">
        <v>16</v>
      </c>
      <c r="D345" s="8">
        <v>46113.0</v>
      </c>
      <c r="E345" s="9">
        <v>0.3125</v>
      </c>
      <c r="F345" s="10">
        <v>20.0</v>
      </c>
      <c r="G345" s="11">
        <v>10.0</v>
      </c>
      <c r="H345" s="10">
        <v>16.0</v>
      </c>
      <c r="I345" s="10">
        <f t="shared" si="28"/>
        <v>46</v>
      </c>
      <c r="J345" s="7" t="s">
        <v>21</v>
      </c>
      <c r="K345" s="10" t="s">
        <v>18</v>
      </c>
      <c r="L345" s="7" t="s">
        <v>19</v>
      </c>
      <c r="M345" s="7"/>
      <c r="N345" s="7"/>
      <c r="O345" s="7"/>
    </row>
    <row r="346">
      <c r="A346" s="12"/>
      <c r="B346" s="12"/>
      <c r="C346" s="7" t="s">
        <v>20</v>
      </c>
      <c r="D346" s="8">
        <v>46113.0</v>
      </c>
      <c r="E346" s="9">
        <v>0.3125</v>
      </c>
      <c r="F346" s="10">
        <v>20.0</v>
      </c>
      <c r="G346" s="11">
        <v>10.0</v>
      </c>
      <c r="H346" s="10">
        <v>12.0</v>
      </c>
      <c r="I346" s="10">
        <f t="shared" si="28"/>
        <v>42</v>
      </c>
      <c r="J346" s="7" t="s">
        <v>17</v>
      </c>
      <c r="K346" s="28" t="s">
        <v>18</v>
      </c>
      <c r="L346" s="7" t="s">
        <v>23</v>
      </c>
      <c r="M346" s="14" t="s">
        <v>34</v>
      </c>
      <c r="N346" s="7" t="s">
        <v>17</v>
      </c>
      <c r="O346" s="10">
        <v>2.0</v>
      </c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>
      <c r="A348" s="4" t="s">
        <v>1</v>
      </c>
      <c r="B348" s="4" t="s">
        <v>2</v>
      </c>
      <c r="C348" s="4" t="s">
        <v>3</v>
      </c>
      <c r="D348" s="4" t="s">
        <v>4</v>
      </c>
      <c r="E348" s="4" t="s">
        <v>5</v>
      </c>
      <c r="F348" s="4" t="s">
        <v>6</v>
      </c>
      <c r="G348" s="4" t="s">
        <v>7</v>
      </c>
      <c r="H348" s="4" t="s">
        <v>8</v>
      </c>
      <c r="I348" s="4" t="s">
        <v>9</v>
      </c>
      <c r="J348" s="4" t="s">
        <v>10</v>
      </c>
      <c r="K348" s="4" t="s">
        <v>11</v>
      </c>
      <c r="L348" s="4" t="s">
        <v>12</v>
      </c>
      <c r="M348" s="4" t="s">
        <v>13</v>
      </c>
      <c r="N348" s="4" t="s">
        <v>10</v>
      </c>
      <c r="O348" s="4" t="s">
        <v>14</v>
      </c>
    </row>
    <row r="349">
      <c r="A349" s="5">
        <v>137.0</v>
      </c>
      <c r="B349" s="6" t="s">
        <v>15</v>
      </c>
      <c r="C349" s="7" t="s">
        <v>16</v>
      </c>
      <c r="D349" s="8">
        <v>46113.0</v>
      </c>
      <c r="E349" s="9">
        <v>0.5208333333333334</v>
      </c>
      <c r="F349" s="10">
        <v>6.0</v>
      </c>
      <c r="G349" s="11">
        <v>10.0</v>
      </c>
      <c r="H349" s="10">
        <v>16.0</v>
      </c>
      <c r="I349" s="10">
        <f t="shared" ref="I349:I358" si="29">F349+G349+H349</f>
        <v>32</v>
      </c>
      <c r="J349" s="7" t="s">
        <v>28</v>
      </c>
      <c r="K349" s="10" t="s">
        <v>18</v>
      </c>
      <c r="L349" s="7" t="s">
        <v>19</v>
      </c>
      <c r="M349" s="7"/>
      <c r="N349" s="7"/>
      <c r="O349" s="7"/>
    </row>
    <row r="350">
      <c r="A350" s="12"/>
      <c r="B350" s="12"/>
      <c r="C350" s="7" t="s">
        <v>20</v>
      </c>
      <c r="D350" s="8">
        <v>46113.0</v>
      </c>
      <c r="E350" s="9">
        <v>0.5208333333333334</v>
      </c>
      <c r="F350" s="10">
        <v>6.0</v>
      </c>
      <c r="G350" s="11">
        <v>10.0</v>
      </c>
      <c r="H350" s="10">
        <v>22.0</v>
      </c>
      <c r="I350" s="10">
        <f t="shared" si="29"/>
        <v>38</v>
      </c>
      <c r="J350" s="7" t="s">
        <v>17</v>
      </c>
      <c r="K350" s="14" t="s">
        <v>22</v>
      </c>
      <c r="L350" s="7" t="s">
        <v>23</v>
      </c>
      <c r="M350" s="26" t="s">
        <v>24</v>
      </c>
      <c r="N350" s="7" t="s">
        <v>17</v>
      </c>
      <c r="O350" s="10">
        <v>2.0</v>
      </c>
    </row>
    <row r="351">
      <c r="A351" s="5">
        <v>138.0</v>
      </c>
      <c r="B351" s="6" t="s">
        <v>25</v>
      </c>
      <c r="C351" s="7" t="s">
        <v>16</v>
      </c>
      <c r="D351" s="8">
        <v>46113.0</v>
      </c>
      <c r="E351" s="9">
        <v>0.5208333333333334</v>
      </c>
      <c r="F351" s="10">
        <v>1.0</v>
      </c>
      <c r="G351" s="11">
        <v>10.0</v>
      </c>
      <c r="H351" s="10">
        <v>12.0</v>
      </c>
      <c r="I351" s="10">
        <f t="shared" si="29"/>
        <v>23</v>
      </c>
      <c r="J351" s="7" t="s">
        <v>28</v>
      </c>
      <c r="K351" s="10" t="s">
        <v>18</v>
      </c>
      <c r="L351" s="7" t="s">
        <v>19</v>
      </c>
      <c r="M351" s="7"/>
      <c r="N351" s="7"/>
      <c r="O351" s="7"/>
    </row>
    <row r="352">
      <c r="A352" s="12"/>
      <c r="B352" s="12"/>
      <c r="C352" s="7" t="s">
        <v>20</v>
      </c>
      <c r="D352" s="8">
        <v>46113.0</v>
      </c>
      <c r="E352" s="9">
        <v>0.5208333333333334</v>
      </c>
      <c r="F352" s="10">
        <v>1.0</v>
      </c>
      <c r="G352" s="11">
        <v>10.0</v>
      </c>
      <c r="H352" s="10">
        <v>26.0</v>
      </c>
      <c r="I352" s="10">
        <f t="shared" si="29"/>
        <v>37</v>
      </c>
      <c r="J352" s="7" t="s">
        <v>21</v>
      </c>
      <c r="K352" s="10" t="s">
        <v>18</v>
      </c>
      <c r="L352" s="7" t="s">
        <v>23</v>
      </c>
      <c r="M352" s="14" t="s">
        <v>26</v>
      </c>
      <c r="N352" s="7" t="s">
        <v>17</v>
      </c>
      <c r="O352" s="10">
        <v>2.0</v>
      </c>
    </row>
    <row r="353">
      <c r="A353" s="5">
        <v>139.0</v>
      </c>
      <c r="B353" s="6" t="s">
        <v>27</v>
      </c>
      <c r="C353" s="7" t="s">
        <v>16</v>
      </c>
      <c r="D353" s="8">
        <v>46113.0</v>
      </c>
      <c r="E353" s="9">
        <v>0.5208333333333334</v>
      </c>
      <c r="F353" s="10">
        <v>7.0</v>
      </c>
      <c r="G353" s="11">
        <v>10.0</v>
      </c>
      <c r="H353" s="10">
        <v>8.0</v>
      </c>
      <c r="I353" s="10">
        <f t="shared" si="29"/>
        <v>25</v>
      </c>
      <c r="J353" s="7" t="s">
        <v>28</v>
      </c>
      <c r="K353" s="14" t="s">
        <v>29</v>
      </c>
      <c r="L353" s="7" t="s">
        <v>19</v>
      </c>
      <c r="M353" s="7"/>
      <c r="N353" s="7"/>
      <c r="O353" s="7"/>
    </row>
    <row r="354">
      <c r="A354" s="12"/>
      <c r="B354" s="12"/>
      <c r="C354" s="7" t="s">
        <v>20</v>
      </c>
      <c r="D354" s="8">
        <v>46113.0</v>
      </c>
      <c r="E354" s="9">
        <v>0.5208333333333334</v>
      </c>
      <c r="F354" s="10">
        <v>7.0</v>
      </c>
      <c r="G354" s="11">
        <v>10.0</v>
      </c>
      <c r="H354" s="10">
        <v>20.0</v>
      </c>
      <c r="I354" s="10">
        <f t="shared" si="29"/>
        <v>37</v>
      </c>
      <c r="J354" s="7" t="s">
        <v>21</v>
      </c>
      <c r="K354" s="10" t="s">
        <v>36</v>
      </c>
      <c r="L354" s="7" t="s">
        <v>19</v>
      </c>
      <c r="M354" s="7"/>
      <c r="N354" s="7"/>
      <c r="O354" s="7"/>
    </row>
    <row r="355">
      <c r="A355" s="5">
        <v>140.0</v>
      </c>
      <c r="B355" s="6" t="s">
        <v>31</v>
      </c>
      <c r="C355" s="7" t="s">
        <v>16</v>
      </c>
      <c r="D355" s="8">
        <v>46113.0</v>
      </c>
      <c r="E355" s="9">
        <v>0.5208333333333334</v>
      </c>
      <c r="F355" s="10">
        <v>12.0</v>
      </c>
      <c r="G355" s="11">
        <v>10.0</v>
      </c>
      <c r="H355" s="10">
        <v>10.0</v>
      </c>
      <c r="I355" s="10">
        <f t="shared" si="29"/>
        <v>32</v>
      </c>
      <c r="J355" s="7" t="s">
        <v>28</v>
      </c>
      <c r="K355" s="26" t="s">
        <v>18</v>
      </c>
      <c r="L355" s="7" t="s">
        <v>19</v>
      </c>
      <c r="M355" s="7"/>
      <c r="N355" s="7"/>
      <c r="O355" s="7"/>
    </row>
    <row r="356">
      <c r="A356" s="12"/>
      <c r="B356" s="12"/>
      <c r="C356" s="7" t="s">
        <v>20</v>
      </c>
      <c r="D356" s="8">
        <v>46113.0</v>
      </c>
      <c r="E356" s="9">
        <v>0.5208333333333334</v>
      </c>
      <c r="F356" s="10">
        <v>12.0</v>
      </c>
      <c r="G356" s="11">
        <v>10.0</v>
      </c>
      <c r="H356" s="10">
        <v>14.0</v>
      </c>
      <c r="I356" s="10">
        <f t="shared" si="29"/>
        <v>36</v>
      </c>
      <c r="J356" s="7" t="s">
        <v>17</v>
      </c>
      <c r="K356" s="10" t="s">
        <v>18</v>
      </c>
      <c r="L356" s="7" t="s">
        <v>19</v>
      </c>
      <c r="M356" s="7"/>
      <c r="N356" s="7"/>
      <c r="O356" s="7"/>
    </row>
    <row r="357">
      <c r="A357" s="5">
        <v>141.0</v>
      </c>
      <c r="B357" s="15" t="s">
        <v>33</v>
      </c>
      <c r="C357" s="7" t="s">
        <v>16</v>
      </c>
      <c r="D357" s="8">
        <v>46113.0</v>
      </c>
      <c r="E357" s="9">
        <v>0.5208333333333334</v>
      </c>
      <c r="F357" s="10">
        <v>16.0</v>
      </c>
      <c r="G357" s="11">
        <v>10.0</v>
      </c>
      <c r="H357" s="10">
        <v>14.0</v>
      </c>
      <c r="I357" s="10">
        <f t="shared" si="29"/>
        <v>40</v>
      </c>
      <c r="J357" s="7" t="s">
        <v>17</v>
      </c>
      <c r="K357" s="10" t="s">
        <v>18</v>
      </c>
      <c r="L357" s="7" t="s">
        <v>19</v>
      </c>
      <c r="M357" s="7"/>
      <c r="N357" s="7"/>
      <c r="O357" s="7"/>
    </row>
    <row r="358">
      <c r="A358" s="12"/>
      <c r="B358" s="12"/>
      <c r="C358" s="7" t="s">
        <v>20</v>
      </c>
      <c r="D358" s="8">
        <v>46113.0</v>
      </c>
      <c r="E358" s="9">
        <v>0.5208333333333334</v>
      </c>
      <c r="F358" s="10">
        <v>16.0</v>
      </c>
      <c r="G358" s="11">
        <v>10.0</v>
      </c>
      <c r="H358" s="10">
        <v>19.0</v>
      </c>
      <c r="I358" s="10">
        <f t="shared" si="29"/>
        <v>45</v>
      </c>
      <c r="J358" s="7" t="s">
        <v>28</v>
      </c>
      <c r="K358" s="28" t="s">
        <v>18</v>
      </c>
      <c r="L358" s="7" t="s">
        <v>19</v>
      </c>
      <c r="M358" s="27"/>
      <c r="N358" s="7"/>
      <c r="O358" s="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>
      <c r="A360" s="4" t="s">
        <v>1</v>
      </c>
      <c r="B360" s="4" t="s">
        <v>2</v>
      </c>
      <c r="C360" s="4" t="s">
        <v>3</v>
      </c>
      <c r="D360" s="4" t="s">
        <v>4</v>
      </c>
      <c r="E360" s="4" t="s">
        <v>5</v>
      </c>
      <c r="F360" s="4" t="s">
        <v>6</v>
      </c>
      <c r="G360" s="4" t="s">
        <v>7</v>
      </c>
      <c r="H360" s="4" t="s">
        <v>8</v>
      </c>
      <c r="I360" s="4" t="s">
        <v>9</v>
      </c>
      <c r="J360" s="4" t="s">
        <v>10</v>
      </c>
      <c r="K360" s="4" t="s">
        <v>11</v>
      </c>
      <c r="L360" s="4" t="s">
        <v>12</v>
      </c>
      <c r="M360" s="4" t="s">
        <v>13</v>
      </c>
      <c r="N360" s="4" t="s">
        <v>10</v>
      </c>
      <c r="O360" s="4" t="s">
        <v>14</v>
      </c>
    </row>
    <row r="361">
      <c r="A361" s="5">
        <v>142.0</v>
      </c>
      <c r="B361" s="6" t="s">
        <v>15</v>
      </c>
      <c r="C361" s="7" t="s">
        <v>16</v>
      </c>
      <c r="D361" s="8">
        <v>46113.0</v>
      </c>
      <c r="E361" s="9">
        <v>0.7708333333333334</v>
      </c>
      <c r="F361" s="10">
        <v>8.0</v>
      </c>
      <c r="G361" s="11">
        <v>10.0</v>
      </c>
      <c r="H361" s="10">
        <v>18.0</v>
      </c>
      <c r="I361" s="10">
        <f t="shared" ref="I361:I370" si="30">F361+G361+H361</f>
        <v>36</v>
      </c>
      <c r="J361" s="7" t="s">
        <v>17</v>
      </c>
      <c r="K361" s="10" t="s">
        <v>18</v>
      </c>
      <c r="L361" s="7" t="s">
        <v>19</v>
      </c>
      <c r="M361" s="7"/>
      <c r="N361" s="7"/>
      <c r="O361" s="7"/>
    </row>
    <row r="362">
      <c r="A362" s="12"/>
      <c r="B362" s="12"/>
      <c r="C362" s="7" t="s">
        <v>20</v>
      </c>
      <c r="D362" s="8">
        <v>46113.0</v>
      </c>
      <c r="E362" s="9">
        <v>0.7708333333333334</v>
      </c>
      <c r="F362" s="10">
        <v>8.0</v>
      </c>
      <c r="G362" s="11">
        <v>10.0</v>
      </c>
      <c r="H362" s="10">
        <v>22.0</v>
      </c>
      <c r="I362" s="10">
        <f t="shared" si="30"/>
        <v>40</v>
      </c>
      <c r="J362" s="7" t="s">
        <v>17</v>
      </c>
      <c r="K362" s="14" t="s">
        <v>62</v>
      </c>
      <c r="L362" s="7" t="s">
        <v>19</v>
      </c>
      <c r="M362" s="7"/>
      <c r="N362" s="7"/>
      <c r="O362" s="7"/>
    </row>
    <row r="363">
      <c r="A363" s="5">
        <v>143.0</v>
      </c>
      <c r="B363" s="6" t="s">
        <v>25</v>
      </c>
      <c r="C363" s="7" t="s">
        <v>16</v>
      </c>
      <c r="D363" s="8">
        <v>46113.0</v>
      </c>
      <c r="E363" s="9">
        <v>0.7708333333333334</v>
      </c>
      <c r="F363" s="10">
        <v>1.0</v>
      </c>
      <c r="G363" s="11">
        <v>10.0</v>
      </c>
      <c r="H363" s="10">
        <v>14.0</v>
      </c>
      <c r="I363" s="10">
        <f t="shared" si="30"/>
        <v>25</v>
      </c>
      <c r="J363" s="7" t="s">
        <v>17</v>
      </c>
      <c r="K363" s="10" t="s">
        <v>18</v>
      </c>
      <c r="L363" s="7" t="s">
        <v>19</v>
      </c>
      <c r="M363" s="7"/>
      <c r="N363" s="7"/>
      <c r="O363" s="7"/>
    </row>
    <row r="364">
      <c r="A364" s="12"/>
      <c r="B364" s="12"/>
      <c r="C364" s="7" t="s">
        <v>20</v>
      </c>
      <c r="D364" s="8">
        <v>46113.0</v>
      </c>
      <c r="E364" s="9">
        <v>0.7708333333333334</v>
      </c>
      <c r="F364" s="10">
        <v>1.0</v>
      </c>
      <c r="G364" s="11">
        <v>10.0</v>
      </c>
      <c r="H364" s="10">
        <v>30.0</v>
      </c>
      <c r="I364" s="10">
        <f t="shared" si="30"/>
        <v>41</v>
      </c>
      <c r="J364" s="7" t="s">
        <v>21</v>
      </c>
      <c r="K364" s="10" t="s">
        <v>18</v>
      </c>
      <c r="L364" s="7" t="s">
        <v>23</v>
      </c>
      <c r="M364" s="14" t="s">
        <v>26</v>
      </c>
      <c r="N364" s="7" t="s">
        <v>17</v>
      </c>
      <c r="O364" s="10">
        <v>6.0</v>
      </c>
    </row>
    <row r="365">
      <c r="A365" s="5">
        <v>144.0</v>
      </c>
      <c r="B365" s="6" t="s">
        <v>27</v>
      </c>
      <c r="C365" s="7" t="s">
        <v>16</v>
      </c>
      <c r="D365" s="8">
        <v>46113.0</v>
      </c>
      <c r="E365" s="9">
        <v>0.7708333333333334</v>
      </c>
      <c r="F365" s="10">
        <v>9.0</v>
      </c>
      <c r="G365" s="11">
        <v>10.0</v>
      </c>
      <c r="H365" s="10">
        <v>8.0</v>
      </c>
      <c r="I365" s="10">
        <f t="shared" si="30"/>
        <v>27</v>
      </c>
      <c r="J365" s="7" t="s">
        <v>28</v>
      </c>
      <c r="K365" s="14" t="s">
        <v>29</v>
      </c>
      <c r="L365" s="7" t="s">
        <v>19</v>
      </c>
      <c r="M365" s="7"/>
      <c r="N365" s="7"/>
      <c r="O365" s="7"/>
    </row>
    <row r="366">
      <c r="A366" s="12"/>
      <c r="B366" s="12"/>
      <c r="C366" s="7" t="s">
        <v>20</v>
      </c>
      <c r="D366" s="8">
        <v>46113.0</v>
      </c>
      <c r="E366" s="9">
        <v>0.7708333333333334</v>
      </c>
      <c r="F366" s="10">
        <v>9.0</v>
      </c>
      <c r="G366" s="11">
        <v>10.0</v>
      </c>
      <c r="H366" s="10">
        <v>22.0</v>
      </c>
      <c r="I366" s="10">
        <f t="shared" si="30"/>
        <v>41</v>
      </c>
      <c r="J366" s="7" t="s">
        <v>21</v>
      </c>
      <c r="K366" s="10" t="s">
        <v>36</v>
      </c>
      <c r="L366" s="7" t="s">
        <v>23</v>
      </c>
      <c r="M366" s="26" t="s">
        <v>54</v>
      </c>
      <c r="N366" s="7" t="s">
        <v>17</v>
      </c>
      <c r="O366" s="10">
        <v>2.0</v>
      </c>
    </row>
    <row r="367">
      <c r="A367" s="5">
        <v>145.0</v>
      </c>
      <c r="B367" s="6" t="s">
        <v>31</v>
      </c>
      <c r="C367" s="7" t="s">
        <v>16</v>
      </c>
      <c r="D367" s="8">
        <v>46113.0</v>
      </c>
      <c r="E367" s="9">
        <v>0.7708333333333334</v>
      </c>
      <c r="F367" s="10">
        <v>12.0</v>
      </c>
      <c r="G367" s="11">
        <v>10.0</v>
      </c>
      <c r="H367" s="10">
        <v>12.0</v>
      </c>
      <c r="I367" s="10">
        <f t="shared" si="30"/>
        <v>34</v>
      </c>
      <c r="J367" s="7" t="s">
        <v>17</v>
      </c>
      <c r="K367" s="26" t="s">
        <v>18</v>
      </c>
      <c r="L367" s="7" t="s">
        <v>19</v>
      </c>
      <c r="M367" s="7"/>
      <c r="N367" s="7"/>
      <c r="O367" s="7"/>
    </row>
    <row r="368">
      <c r="A368" s="12"/>
      <c r="B368" s="12"/>
      <c r="C368" s="7" t="s">
        <v>20</v>
      </c>
      <c r="D368" s="8">
        <v>46113.0</v>
      </c>
      <c r="E368" s="9">
        <v>0.7708333333333334</v>
      </c>
      <c r="F368" s="10">
        <v>12.0</v>
      </c>
      <c r="G368" s="11">
        <v>10.0</v>
      </c>
      <c r="H368" s="10">
        <v>14.0</v>
      </c>
      <c r="I368" s="10">
        <f t="shared" si="30"/>
        <v>36</v>
      </c>
      <c r="J368" s="7" t="s">
        <v>21</v>
      </c>
      <c r="K368" s="10" t="s">
        <v>18</v>
      </c>
      <c r="L368" s="7" t="s">
        <v>19</v>
      </c>
      <c r="M368" s="7"/>
      <c r="N368" s="7"/>
      <c r="O368" s="7"/>
    </row>
    <row r="369">
      <c r="A369" s="5">
        <v>146.0</v>
      </c>
      <c r="B369" s="15" t="s">
        <v>33</v>
      </c>
      <c r="C369" s="7" t="s">
        <v>16</v>
      </c>
      <c r="D369" s="8">
        <v>46113.0</v>
      </c>
      <c r="E369" s="9">
        <v>0.7708333333333334</v>
      </c>
      <c r="F369" s="10">
        <v>20.0</v>
      </c>
      <c r="G369" s="11">
        <v>10.0</v>
      </c>
      <c r="H369" s="10">
        <v>14.0</v>
      </c>
      <c r="I369" s="10">
        <f t="shared" si="30"/>
        <v>44</v>
      </c>
      <c r="J369" s="7" t="s">
        <v>17</v>
      </c>
      <c r="K369" s="10" t="s">
        <v>18</v>
      </c>
      <c r="L369" s="7" t="s">
        <v>19</v>
      </c>
      <c r="M369" s="7"/>
      <c r="N369" s="7"/>
      <c r="O369" s="7"/>
    </row>
    <row r="370">
      <c r="A370" s="12"/>
      <c r="B370" s="12"/>
      <c r="C370" s="7" t="s">
        <v>20</v>
      </c>
      <c r="D370" s="8">
        <v>46113.0</v>
      </c>
      <c r="E370" s="9">
        <v>0.7708333333333334</v>
      </c>
      <c r="F370" s="10">
        <v>20.0</v>
      </c>
      <c r="G370" s="11">
        <v>10.0</v>
      </c>
      <c r="H370" s="10">
        <v>8.0</v>
      </c>
      <c r="I370" s="10">
        <f t="shared" si="30"/>
        <v>38</v>
      </c>
      <c r="J370" s="7" t="s">
        <v>28</v>
      </c>
      <c r="K370" s="28" t="s">
        <v>18</v>
      </c>
      <c r="L370" s="7" t="s">
        <v>19</v>
      </c>
      <c r="M370" s="7"/>
      <c r="N370" s="7"/>
      <c r="O370" s="7"/>
    </row>
  </sheetData>
  <mergeCells count="309">
    <mergeCell ref="A1:O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5:A16"/>
    <mergeCell ref="B15:B16"/>
    <mergeCell ref="B17:B18"/>
    <mergeCell ref="B35:B36"/>
    <mergeCell ref="A39:O39"/>
    <mergeCell ref="B19:B20"/>
    <mergeCell ref="B21:B22"/>
    <mergeCell ref="B23:B24"/>
    <mergeCell ref="B27:B28"/>
    <mergeCell ref="B29:B30"/>
    <mergeCell ref="B31:B32"/>
    <mergeCell ref="B33:B34"/>
    <mergeCell ref="A17:A18"/>
    <mergeCell ref="A19:A20"/>
    <mergeCell ref="A23:A24"/>
    <mergeCell ref="A27:A28"/>
    <mergeCell ref="A29:A30"/>
    <mergeCell ref="A31:A32"/>
    <mergeCell ref="A33:A34"/>
    <mergeCell ref="A55:A56"/>
    <mergeCell ref="A57:A58"/>
    <mergeCell ref="A59:A60"/>
    <mergeCell ref="B57:B58"/>
    <mergeCell ref="B59:B60"/>
    <mergeCell ref="A76:O76"/>
    <mergeCell ref="B106:B107"/>
    <mergeCell ref="B108:B109"/>
    <mergeCell ref="A113:O113"/>
    <mergeCell ref="B90:B91"/>
    <mergeCell ref="B92:B93"/>
    <mergeCell ref="B94:B95"/>
    <mergeCell ref="B96:B97"/>
    <mergeCell ref="B98:B99"/>
    <mergeCell ref="B102:B103"/>
    <mergeCell ref="B104:B105"/>
    <mergeCell ref="A104:A105"/>
    <mergeCell ref="A106:A107"/>
    <mergeCell ref="A108:A109"/>
    <mergeCell ref="A110:A111"/>
    <mergeCell ref="B110:B111"/>
    <mergeCell ref="A115:A116"/>
    <mergeCell ref="B115:B116"/>
    <mergeCell ref="A117:A118"/>
    <mergeCell ref="B117:B118"/>
    <mergeCell ref="A119:A120"/>
    <mergeCell ref="B119:B120"/>
    <mergeCell ref="A121:A122"/>
    <mergeCell ref="B121:B122"/>
    <mergeCell ref="B123:B124"/>
    <mergeCell ref="A141:A142"/>
    <mergeCell ref="A143:A144"/>
    <mergeCell ref="A145:A146"/>
    <mergeCell ref="A147:A148"/>
    <mergeCell ref="B143:B144"/>
    <mergeCell ref="B145:B146"/>
    <mergeCell ref="B147:B148"/>
    <mergeCell ref="A150:O150"/>
    <mergeCell ref="A133:A134"/>
    <mergeCell ref="B133:B134"/>
    <mergeCell ref="A135:A136"/>
    <mergeCell ref="B135:B136"/>
    <mergeCell ref="A139:A140"/>
    <mergeCell ref="B139:B140"/>
    <mergeCell ref="B141:B142"/>
    <mergeCell ref="A35:A36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3:A54"/>
    <mergeCell ref="B53:B54"/>
    <mergeCell ref="B55:B56"/>
    <mergeCell ref="A61:A62"/>
    <mergeCell ref="B61:B62"/>
    <mergeCell ref="A65:A66"/>
    <mergeCell ref="B65:B66"/>
    <mergeCell ref="A67:A68"/>
    <mergeCell ref="B67:B68"/>
    <mergeCell ref="B69:B70"/>
    <mergeCell ref="A69:A70"/>
    <mergeCell ref="A71:A72"/>
    <mergeCell ref="A73:A74"/>
    <mergeCell ref="A78:A79"/>
    <mergeCell ref="A80:A81"/>
    <mergeCell ref="A82:A83"/>
    <mergeCell ref="A84:A85"/>
    <mergeCell ref="B71:B72"/>
    <mergeCell ref="B73:B74"/>
    <mergeCell ref="B78:B79"/>
    <mergeCell ref="B80:B81"/>
    <mergeCell ref="B82:B83"/>
    <mergeCell ref="B84:B85"/>
    <mergeCell ref="B86:B87"/>
    <mergeCell ref="A86:A87"/>
    <mergeCell ref="A90:A91"/>
    <mergeCell ref="A92:A93"/>
    <mergeCell ref="A94:A95"/>
    <mergeCell ref="A96:A97"/>
    <mergeCell ref="A98:A99"/>
    <mergeCell ref="A102:A103"/>
    <mergeCell ref="A123:A124"/>
    <mergeCell ref="A127:A128"/>
    <mergeCell ref="B127:B128"/>
    <mergeCell ref="A129:A130"/>
    <mergeCell ref="B129:B130"/>
    <mergeCell ref="A131:A132"/>
    <mergeCell ref="B131:B132"/>
    <mergeCell ref="A152:A153"/>
    <mergeCell ref="B152:B153"/>
    <mergeCell ref="A154:A155"/>
    <mergeCell ref="B154:B155"/>
    <mergeCell ref="A156:A157"/>
    <mergeCell ref="B156:B157"/>
    <mergeCell ref="B158:B159"/>
    <mergeCell ref="A158:A159"/>
    <mergeCell ref="A160:A161"/>
    <mergeCell ref="A164:A165"/>
    <mergeCell ref="A166:A167"/>
    <mergeCell ref="A168:A169"/>
    <mergeCell ref="A170:A171"/>
    <mergeCell ref="A172:A173"/>
    <mergeCell ref="B178:B179"/>
    <mergeCell ref="B180:B181"/>
    <mergeCell ref="B182:B183"/>
    <mergeCell ref="B184:B185"/>
    <mergeCell ref="A187:O187"/>
    <mergeCell ref="B160:B161"/>
    <mergeCell ref="B164:B165"/>
    <mergeCell ref="B166:B167"/>
    <mergeCell ref="B168:B169"/>
    <mergeCell ref="B170:B171"/>
    <mergeCell ref="B172:B173"/>
    <mergeCell ref="B176:B177"/>
    <mergeCell ref="A176:A177"/>
    <mergeCell ref="A178:A179"/>
    <mergeCell ref="A180:A181"/>
    <mergeCell ref="A182:A183"/>
    <mergeCell ref="A184:A185"/>
    <mergeCell ref="A189:A190"/>
    <mergeCell ref="A191:A192"/>
    <mergeCell ref="B205:B206"/>
    <mergeCell ref="B207:B208"/>
    <mergeCell ref="B209:B210"/>
    <mergeCell ref="A224:O224"/>
    <mergeCell ref="A261:O261"/>
    <mergeCell ref="B189:B190"/>
    <mergeCell ref="B191:B192"/>
    <mergeCell ref="B193:B194"/>
    <mergeCell ref="B195:B196"/>
    <mergeCell ref="B197:B198"/>
    <mergeCell ref="B201:B202"/>
    <mergeCell ref="B203:B204"/>
    <mergeCell ref="A281:A282"/>
    <mergeCell ref="A283:A284"/>
    <mergeCell ref="A298:O298"/>
    <mergeCell ref="A335:O335"/>
    <mergeCell ref="A275:A276"/>
    <mergeCell ref="B275:B276"/>
    <mergeCell ref="A277:A278"/>
    <mergeCell ref="B277:B278"/>
    <mergeCell ref="A279:A280"/>
    <mergeCell ref="B279:B280"/>
    <mergeCell ref="B281:B282"/>
    <mergeCell ref="B283:B284"/>
    <mergeCell ref="A263:A264"/>
    <mergeCell ref="A265:A266"/>
    <mergeCell ref="A267:A268"/>
    <mergeCell ref="A269:A270"/>
    <mergeCell ref="B269:B270"/>
    <mergeCell ref="A271:A272"/>
    <mergeCell ref="B271:B272"/>
    <mergeCell ref="B287:B288"/>
    <mergeCell ref="A287:A288"/>
    <mergeCell ref="A289:A290"/>
    <mergeCell ref="B289:B290"/>
    <mergeCell ref="A291:A292"/>
    <mergeCell ref="B291:B292"/>
    <mergeCell ref="A293:A294"/>
    <mergeCell ref="B293:B294"/>
    <mergeCell ref="A193:A194"/>
    <mergeCell ref="A195:A196"/>
    <mergeCell ref="A197:A198"/>
    <mergeCell ref="A201:A202"/>
    <mergeCell ref="A203:A204"/>
    <mergeCell ref="A205:A206"/>
    <mergeCell ref="A207:A208"/>
    <mergeCell ref="A209:A210"/>
    <mergeCell ref="A213:A214"/>
    <mergeCell ref="B213:B214"/>
    <mergeCell ref="A215:A216"/>
    <mergeCell ref="B215:B216"/>
    <mergeCell ref="A217:A218"/>
    <mergeCell ref="B217:B218"/>
    <mergeCell ref="A219:A220"/>
    <mergeCell ref="B219:B220"/>
    <mergeCell ref="A221:A222"/>
    <mergeCell ref="B221:B222"/>
    <mergeCell ref="A226:A227"/>
    <mergeCell ref="B226:B227"/>
    <mergeCell ref="B228:B229"/>
    <mergeCell ref="A228:A229"/>
    <mergeCell ref="A230:A231"/>
    <mergeCell ref="A232:A233"/>
    <mergeCell ref="A234:A235"/>
    <mergeCell ref="A238:A239"/>
    <mergeCell ref="A240:A241"/>
    <mergeCell ref="A242:A243"/>
    <mergeCell ref="B230:B231"/>
    <mergeCell ref="B232:B233"/>
    <mergeCell ref="B234:B235"/>
    <mergeCell ref="B238:B239"/>
    <mergeCell ref="B240:B241"/>
    <mergeCell ref="B242:B243"/>
    <mergeCell ref="B244:B245"/>
    <mergeCell ref="A244:A245"/>
    <mergeCell ref="A246:A247"/>
    <mergeCell ref="A250:A251"/>
    <mergeCell ref="A252:A253"/>
    <mergeCell ref="A254:A255"/>
    <mergeCell ref="A256:A257"/>
    <mergeCell ref="A258:A259"/>
    <mergeCell ref="B367:B368"/>
    <mergeCell ref="B369:B370"/>
    <mergeCell ref="B265:B266"/>
    <mergeCell ref="B267:B268"/>
    <mergeCell ref="B246:B247"/>
    <mergeCell ref="B250:B251"/>
    <mergeCell ref="B252:B253"/>
    <mergeCell ref="B254:B255"/>
    <mergeCell ref="B256:B257"/>
    <mergeCell ref="B258:B259"/>
    <mergeCell ref="B263:B264"/>
    <mergeCell ref="A304:A305"/>
    <mergeCell ref="A306:A307"/>
    <mergeCell ref="A308:A309"/>
    <mergeCell ref="A295:A296"/>
    <mergeCell ref="B295:B296"/>
    <mergeCell ref="A300:A301"/>
    <mergeCell ref="B300:B301"/>
    <mergeCell ref="A302:A303"/>
    <mergeCell ref="B302:B303"/>
    <mergeCell ref="B304:B305"/>
    <mergeCell ref="A316:A317"/>
    <mergeCell ref="A318:A319"/>
    <mergeCell ref="A320:A321"/>
    <mergeCell ref="B306:B307"/>
    <mergeCell ref="B308:B309"/>
    <mergeCell ref="A312:A313"/>
    <mergeCell ref="B312:B313"/>
    <mergeCell ref="A314:A315"/>
    <mergeCell ref="B314:B315"/>
    <mergeCell ref="B316:B317"/>
    <mergeCell ref="A328:A329"/>
    <mergeCell ref="A330:A331"/>
    <mergeCell ref="A332:A333"/>
    <mergeCell ref="B318:B319"/>
    <mergeCell ref="B320:B321"/>
    <mergeCell ref="A324:A325"/>
    <mergeCell ref="B324:B325"/>
    <mergeCell ref="A326:A327"/>
    <mergeCell ref="B326:B327"/>
    <mergeCell ref="B328:B329"/>
    <mergeCell ref="A341:A342"/>
    <mergeCell ref="A343:A344"/>
    <mergeCell ref="A345:A346"/>
    <mergeCell ref="B330:B331"/>
    <mergeCell ref="B332:B333"/>
    <mergeCell ref="A337:A338"/>
    <mergeCell ref="B337:B338"/>
    <mergeCell ref="A339:A340"/>
    <mergeCell ref="B339:B340"/>
    <mergeCell ref="B341:B342"/>
    <mergeCell ref="A353:A354"/>
    <mergeCell ref="A355:A356"/>
    <mergeCell ref="A357:A358"/>
    <mergeCell ref="B343:B344"/>
    <mergeCell ref="B345:B346"/>
    <mergeCell ref="A349:A350"/>
    <mergeCell ref="B349:B350"/>
    <mergeCell ref="A351:A352"/>
    <mergeCell ref="B351:B352"/>
    <mergeCell ref="B353:B354"/>
    <mergeCell ref="A365:A366"/>
    <mergeCell ref="A367:A368"/>
    <mergeCell ref="A369:A370"/>
    <mergeCell ref="B355:B356"/>
    <mergeCell ref="B357:B358"/>
    <mergeCell ref="A361:A362"/>
    <mergeCell ref="B361:B362"/>
    <mergeCell ref="A363:A364"/>
    <mergeCell ref="B363:B364"/>
    <mergeCell ref="B365:B366"/>
  </mergeCells>
  <dataValidations>
    <dataValidation type="list" allowBlank="1" showErrorMessage="1" sqref="J3:J12 N3:N12 J15:J24 N15:N24 J27:J36 N27:N36 J41:J50 N41:N50 J53:J62 N53:N62 J65:J74 N65:N74 J78:J87 N78:N87 J90:J99 N90:N99 J102:J111 N102:N111 J115:J124 N115:N124 J127:J136 N127:N136 J139:J148 N139:N148 J152:J161 N152:N161 J164:J173 N164:N173 J176:J185 N176:N185 J189:J198 N189:N198 J201:J210 N201:N210 J213:J222 N213:N222 J226:J235 N226:N235 J238:J247 N238:N247 J250:J259 N250:N259 J263:J272 N263:N272 J275:J284 N275:N284 J287:J296 N287:N296 J300:J309 N300:N309 J312:J321 N312:N321 J324:J333 N324:N333 J337:J346 N337:N346 J349:J358 N349:N358 J361:J370 N361:N370">
      <formula1>"Leve,Moderado,Intenso"</formula1>
    </dataValidation>
    <dataValidation type="list" allowBlank="1" showErrorMessage="1" sqref="L3:L12 L15:L24 L27:L36 L41:L50 L53:L62 L65:L74 L78:L87 L90:L99 L102:L111 L115:L124 L127:L136 L139:L148 L152:L161 L164:L173 L176:L185 L189:L198 L201:L210 L213:L222 L226:L235 L238:L247 L250:L259 L263:L272 L275:L284 L287:L296 L300:L309 L312:L321 L324:L333 L337:L346 L349:L358 L361:L370">
      <formula1>"Sim,Não"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2.13"/>
    <col customWidth="1" min="3" max="3" width="17.63"/>
    <col customWidth="1" min="4" max="4" width="13.63"/>
    <col customWidth="1" min="5" max="5" width="13.5"/>
    <col customWidth="1" min="6" max="6" width="13.63"/>
  </cols>
  <sheetData>
    <row r="1">
      <c r="A1" s="29" t="s">
        <v>4</v>
      </c>
      <c r="B1" s="29" t="s">
        <v>63</v>
      </c>
      <c r="C1" s="29" t="s">
        <v>2</v>
      </c>
      <c r="D1" s="29" t="s">
        <v>3</v>
      </c>
      <c r="E1" s="29" t="s">
        <v>9</v>
      </c>
      <c r="F1" s="30" t="s">
        <v>64</v>
      </c>
    </row>
    <row r="2">
      <c r="A2" s="8">
        <v>46122.0</v>
      </c>
      <c r="B2" s="9">
        <v>0.3125</v>
      </c>
      <c r="C2" s="6" t="s">
        <v>15</v>
      </c>
      <c r="D2" s="31" t="s">
        <v>16</v>
      </c>
      <c r="E2" s="32">
        <f> Dados!$I3</f>
        <v>39</v>
      </c>
      <c r="F2" s="32" t="str">
        <f>Dados!$J3</f>
        <v>Moderado</v>
      </c>
    </row>
    <row r="3">
      <c r="A3" s="8">
        <v>46122.0</v>
      </c>
      <c r="B3" s="9">
        <v>0.3125</v>
      </c>
      <c r="C3" s="12"/>
      <c r="D3" s="31" t="s">
        <v>20</v>
      </c>
      <c r="E3" s="32">
        <f> Dados!$I4</f>
        <v>43</v>
      </c>
      <c r="F3" s="32" t="str">
        <f>Dados!$J4</f>
        <v>Intenso</v>
      </c>
    </row>
    <row r="4">
      <c r="A4" s="8">
        <v>46122.0</v>
      </c>
      <c r="B4" s="9">
        <v>0.3125</v>
      </c>
      <c r="C4" s="6" t="s">
        <v>25</v>
      </c>
      <c r="D4" s="31" t="s">
        <v>16</v>
      </c>
      <c r="E4" s="32">
        <f> Dados!$I5</f>
        <v>27</v>
      </c>
      <c r="F4" s="32" t="str">
        <f>Dados!$J5</f>
        <v>Moderado</v>
      </c>
    </row>
    <row r="5">
      <c r="A5" s="8">
        <v>46122.0</v>
      </c>
      <c r="B5" s="9">
        <v>0.3125</v>
      </c>
      <c r="C5" s="12"/>
      <c r="D5" s="31" t="s">
        <v>20</v>
      </c>
      <c r="E5" s="32">
        <f> Dados!$I6</f>
        <v>39</v>
      </c>
      <c r="F5" s="32" t="str">
        <f>Dados!$J6</f>
        <v>Intenso</v>
      </c>
    </row>
    <row r="6">
      <c r="A6" s="8">
        <v>46122.0</v>
      </c>
      <c r="B6" s="9">
        <v>0.3125</v>
      </c>
      <c r="C6" s="6" t="s">
        <v>27</v>
      </c>
      <c r="D6" s="31" t="s">
        <v>16</v>
      </c>
      <c r="E6" s="32">
        <f> Dados!$I7</f>
        <v>27</v>
      </c>
      <c r="F6" s="32" t="str">
        <f>Dados!$J7</f>
        <v>Leve</v>
      </c>
    </row>
    <row r="7">
      <c r="A7" s="8">
        <v>46122.0</v>
      </c>
      <c r="B7" s="9">
        <v>0.3125</v>
      </c>
      <c r="C7" s="12"/>
      <c r="D7" s="31" t="s">
        <v>20</v>
      </c>
      <c r="E7" s="32">
        <f> Dados!$I8</f>
        <v>39</v>
      </c>
      <c r="F7" s="32" t="str">
        <f>Dados!$J8</f>
        <v>Intenso</v>
      </c>
    </row>
    <row r="8">
      <c r="A8" s="8">
        <v>46122.0</v>
      </c>
      <c r="B8" s="9">
        <v>0.3125</v>
      </c>
      <c r="C8" s="6" t="s">
        <v>31</v>
      </c>
      <c r="D8" s="31" t="s">
        <v>16</v>
      </c>
      <c r="E8" s="32">
        <f> Dados!$I9</f>
        <v>36</v>
      </c>
      <c r="F8" s="32" t="str">
        <f>Dados!$J9</f>
        <v>Leve</v>
      </c>
    </row>
    <row r="9">
      <c r="A9" s="8">
        <v>46122.0</v>
      </c>
      <c r="B9" s="9">
        <v>0.3125</v>
      </c>
      <c r="C9" s="12"/>
      <c r="D9" s="31" t="s">
        <v>20</v>
      </c>
      <c r="E9" s="32">
        <f> Dados!$I10</f>
        <v>42</v>
      </c>
      <c r="F9" s="32" t="str">
        <f>Dados!$J10</f>
        <v>Intenso</v>
      </c>
    </row>
    <row r="10">
      <c r="A10" s="8">
        <v>46122.0</v>
      </c>
      <c r="B10" s="9">
        <v>0.3125</v>
      </c>
      <c r="C10" s="15" t="s">
        <v>33</v>
      </c>
      <c r="D10" s="31" t="s">
        <v>16</v>
      </c>
      <c r="E10" s="32">
        <f> Dados!$I11</f>
        <v>48</v>
      </c>
      <c r="F10" s="32" t="str">
        <f>Dados!$J11</f>
        <v>Intenso</v>
      </c>
    </row>
    <row r="11">
      <c r="A11" s="8">
        <v>46122.0</v>
      </c>
      <c r="B11" s="9">
        <v>0.3125</v>
      </c>
      <c r="C11" s="12"/>
      <c r="D11" s="31" t="s">
        <v>20</v>
      </c>
      <c r="E11" s="32">
        <f> Dados!$I12</f>
        <v>44</v>
      </c>
      <c r="F11" s="32" t="str">
        <f>Dados!$J12</f>
        <v>Moderado</v>
      </c>
    </row>
    <row r="12">
      <c r="A12" s="8">
        <v>46122.0</v>
      </c>
      <c r="B12" s="9">
        <v>0.5208333333333334</v>
      </c>
      <c r="C12" s="6" t="s">
        <v>15</v>
      </c>
      <c r="D12" s="31" t="s">
        <v>16</v>
      </c>
      <c r="E12" s="33">
        <f> Dados!$I15</f>
        <v>32</v>
      </c>
      <c r="F12" s="34" t="str">
        <f>Dados!$J15</f>
        <v>Leve</v>
      </c>
    </row>
    <row r="13">
      <c r="A13" s="8">
        <v>46122.0</v>
      </c>
      <c r="B13" s="9">
        <v>0.5208333333333334</v>
      </c>
      <c r="C13" s="12"/>
      <c r="D13" s="31" t="s">
        <v>20</v>
      </c>
      <c r="E13" s="33">
        <f> Dados!$I16</f>
        <v>38</v>
      </c>
      <c r="F13" s="34" t="str">
        <f>Dados!$J16</f>
        <v>Moderado</v>
      </c>
    </row>
    <row r="14">
      <c r="A14" s="8">
        <v>46122.0</v>
      </c>
      <c r="B14" s="9">
        <v>0.5208333333333334</v>
      </c>
      <c r="C14" s="6" t="s">
        <v>25</v>
      </c>
      <c r="D14" s="31" t="s">
        <v>16</v>
      </c>
      <c r="E14" s="33">
        <f> Dados!$I17</f>
        <v>25</v>
      </c>
      <c r="F14" s="34" t="str">
        <f>Dados!$J17</f>
        <v>Moderado</v>
      </c>
    </row>
    <row r="15">
      <c r="A15" s="8">
        <v>46122.0</v>
      </c>
      <c r="B15" s="9">
        <v>0.5208333333333334</v>
      </c>
      <c r="C15" s="12"/>
      <c r="D15" s="31" t="s">
        <v>20</v>
      </c>
      <c r="E15" s="33">
        <f> Dados!$I18</f>
        <v>41</v>
      </c>
      <c r="F15" s="34" t="str">
        <f>Dados!$J18</f>
        <v>Intenso</v>
      </c>
    </row>
    <row r="16">
      <c r="A16" s="8">
        <v>46122.0</v>
      </c>
      <c r="B16" s="9">
        <v>0.5208333333333334</v>
      </c>
      <c r="C16" s="6" t="s">
        <v>27</v>
      </c>
      <c r="D16" s="31" t="s">
        <v>16</v>
      </c>
      <c r="E16" s="33">
        <f> Dados!$I19</f>
        <v>26</v>
      </c>
      <c r="F16" s="34" t="str">
        <f>Dados!$J19</f>
        <v>Leve</v>
      </c>
    </row>
    <row r="17">
      <c r="A17" s="8">
        <v>46122.0</v>
      </c>
      <c r="B17" s="9">
        <v>0.5208333333333334</v>
      </c>
      <c r="C17" s="12"/>
      <c r="D17" s="31" t="s">
        <v>20</v>
      </c>
      <c r="E17" s="33">
        <f> Dados!$I20</f>
        <v>40</v>
      </c>
      <c r="F17" s="34" t="str">
        <f>Dados!$J20</f>
        <v>Intenso</v>
      </c>
    </row>
    <row r="18">
      <c r="A18" s="8">
        <v>46122.0</v>
      </c>
      <c r="B18" s="9">
        <v>0.5208333333333334</v>
      </c>
      <c r="C18" s="6" t="s">
        <v>31</v>
      </c>
      <c r="D18" s="31" t="s">
        <v>16</v>
      </c>
      <c r="E18" s="33">
        <f> Dados!$I21</f>
        <v>32</v>
      </c>
      <c r="F18" s="34" t="str">
        <f>Dados!$J21</f>
        <v>Leve</v>
      </c>
    </row>
    <row r="19">
      <c r="A19" s="8">
        <v>46122.0</v>
      </c>
      <c r="B19" s="9">
        <v>0.5208333333333334</v>
      </c>
      <c r="C19" s="12"/>
      <c r="D19" s="31" t="s">
        <v>20</v>
      </c>
      <c r="E19" s="33">
        <f> Dados!$I22</f>
        <v>38</v>
      </c>
      <c r="F19" s="34" t="str">
        <f>Dados!$J22</f>
        <v>Intenso</v>
      </c>
      <c r="H19" s="35"/>
    </row>
    <row r="20">
      <c r="A20" s="8">
        <v>46122.0</v>
      </c>
      <c r="B20" s="9">
        <v>0.5208333333333334</v>
      </c>
      <c r="C20" s="15" t="s">
        <v>33</v>
      </c>
      <c r="D20" s="31" t="s">
        <v>16</v>
      </c>
      <c r="E20" s="33">
        <f> Dados!$I23</f>
        <v>42</v>
      </c>
      <c r="F20" s="34" t="str">
        <f>Dados!$J23</f>
        <v>Moderado</v>
      </c>
    </row>
    <row r="21">
      <c r="A21" s="8">
        <v>46122.0</v>
      </c>
      <c r="B21" s="9">
        <v>0.5208333333333334</v>
      </c>
      <c r="C21" s="12"/>
      <c r="D21" s="31" t="s">
        <v>20</v>
      </c>
      <c r="E21" s="33">
        <f> Dados!$I24</f>
        <v>38</v>
      </c>
      <c r="F21" s="34" t="str">
        <f>Dados!$J24</f>
        <v>Moderado</v>
      </c>
    </row>
    <row r="22">
      <c r="A22" s="8">
        <v>46122.0</v>
      </c>
      <c r="B22" s="9">
        <v>0.7708333333333334</v>
      </c>
      <c r="C22" s="6" t="s">
        <v>15</v>
      </c>
      <c r="D22" s="31" t="s">
        <v>16</v>
      </c>
      <c r="E22" s="33">
        <f>Dados!$I27</f>
        <v>36</v>
      </c>
      <c r="F22" s="32" t="str">
        <f>Dados!$J27</f>
        <v>Moderado</v>
      </c>
    </row>
    <row r="23">
      <c r="A23" s="8">
        <v>46122.0</v>
      </c>
      <c r="B23" s="9">
        <v>0.7708333333333334</v>
      </c>
      <c r="C23" s="12"/>
      <c r="D23" s="31" t="s">
        <v>20</v>
      </c>
      <c r="E23" s="33">
        <f>Dados!$I28</f>
        <v>40</v>
      </c>
      <c r="F23" s="32" t="str">
        <f>Dados!$J28</f>
        <v>Moderado</v>
      </c>
    </row>
    <row r="24">
      <c r="A24" s="8">
        <v>46122.0</v>
      </c>
      <c r="B24" s="9">
        <v>0.7708333333333334</v>
      </c>
      <c r="C24" s="6" t="s">
        <v>25</v>
      </c>
      <c r="D24" s="31" t="s">
        <v>16</v>
      </c>
      <c r="E24" s="33">
        <f>Dados!$I29</f>
        <v>25</v>
      </c>
      <c r="F24" s="32" t="str">
        <f>Dados!$J29</f>
        <v>Moderado</v>
      </c>
    </row>
    <row r="25">
      <c r="A25" s="8">
        <v>46122.0</v>
      </c>
      <c r="B25" s="9">
        <v>0.7708333333333334</v>
      </c>
      <c r="C25" s="12"/>
      <c r="D25" s="31" t="s">
        <v>20</v>
      </c>
      <c r="E25" s="33">
        <f>Dados!$I30</f>
        <v>41</v>
      </c>
      <c r="F25" s="32" t="str">
        <f>Dados!$J30</f>
        <v>Intenso</v>
      </c>
    </row>
    <row r="26">
      <c r="A26" s="8">
        <v>46122.0</v>
      </c>
      <c r="B26" s="9">
        <v>0.7708333333333334</v>
      </c>
      <c r="C26" s="6" t="s">
        <v>27</v>
      </c>
      <c r="D26" s="31" t="s">
        <v>16</v>
      </c>
      <c r="E26" s="33">
        <f>Dados!$I31</f>
        <v>30</v>
      </c>
      <c r="F26" s="32" t="str">
        <f>Dados!$J31</f>
        <v>Leve</v>
      </c>
    </row>
    <row r="27">
      <c r="A27" s="8">
        <v>46122.0</v>
      </c>
      <c r="B27" s="9">
        <v>0.7708333333333334</v>
      </c>
      <c r="C27" s="12"/>
      <c r="D27" s="31" t="s">
        <v>20</v>
      </c>
      <c r="E27" s="33">
        <f>Dados!$I32</f>
        <v>42</v>
      </c>
      <c r="F27" s="32" t="str">
        <f>Dados!$J32</f>
        <v>Intenso</v>
      </c>
    </row>
    <row r="28">
      <c r="A28" s="8">
        <v>46122.0</v>
      </c>
      <c r="B28" s="9">
        <v>0.7708333333333334</v>
      </c>
      <c r="C28" s="6" t="s">
        <v>31</v>
      </c>
      <c r="D28" s="31" t="s">
        <v>16</v>
      </c>
      <c r="E28" s="33">
        <f>Dados!$I33</f>
        <v>36</v>
      </c>
      <c r="F28" s="32" t="str">
        <f>Dados!$J33</f>
        <v>Moderado</v>
      </c>
    </row>
    <row r="29">
      <c r="A29" s="8">
        <v>46122.0</v>
      </c>
      <c r="B29" s="9">
        <v>0.7708333333333334</v>
      </c>
      <c r="C29" s="12"/>
      <c r="D29" s="31" t="s">
        <v>20</v>
      </c>
      <c r="E29" s="33">
        <f>Dados!$I34</f>
        <v>38</v>
      </c>
      <c r="F29" s="32" t="str">
        <f>Dados!$J34</f>
        <v>Intenso</v>
      </c>
    </row>
    <row r="30">
      <c r="A30" s="8">
        <v>46122.0</v>
      </c>
      <c r="B30" s="9">
        <v>0.7708333333333334</v>
      </c>
      <c r="C30" s="15" t="s">
        <v>33</v>
      </c>
      <c r="D30" s="31" t="s">
        <v>16</v>
      </c>
      <c r="E30" s="33">
        <f>Dados!$I35</f>
        <v>46</v>
      </c>
      <c r="F30" s="32" t="str">
        <f>Dados!$J35</f>
        <v>Intenso</v>
      </c>
    </row>
    <row r="31">
      <c r="A31" s="8">
        <v>46122.0</v>
      </c>
      <c r="B31" s="9">
        <v>0.7708333333333334</v>
      </c>
      <c r="C31" s="12"/>
      <c r="D31" s="31" t="s">
        <v>20</v>
      </c>
      <c r="E31" s="33">
        <f>Dados!$I36</f>
        <v>39</v>
      </c>
      <c r="F31" s="32" t="str">
        <f>Dados!$J36</f>
        <v>Leve</v>
      </c>
    </row>
    <row r="32">
      <c r="A32" s="8">
        <v>46121.0</v>
      </c>
      <c r="B32" s="9">
        <v>0.3125</v>
      </c>
      <c r="C32" s="6" t="s">
        <v>15</v>
      </c>
      <c r="D32" s="31" t="s">
        <v>16</v>
      </c>
      <c r="E32" s="36">
        <f>Dados!$I41</f>
        <v>36</v>
      </c>
      <c r="F32" s="36" t="str">
        <f>Dados!$J41</f>
        <v>Moderado</v>
      </c>
    </row>
    <row r="33">
      <c r="A33" s="8">
        <v>46121.0</v>
      </c>
      <c r="B33" s="9">
        <v>0.3125</v>
      </c>
      <c r="C33" s="12"/>
      <c r="D33" s="31" t="s">
        <v>20</v>
      </c>
      <c r="E33" s="36">
        <f>Dados!$I42</f>
        <v>42</v>
      </c>
      <c r="F33" s="36" t="str">
        <f>Dados!$J42</f>
        <v>Intenso</v>
      </c>
    </row>
    <row r="34">
      <c r="A34" s="8">
        <v>46121.0</v>
      </c>
      <c r="B34" s="9">
        <v>0.3125</v>
      </c>
      <c r="C34" s="6" t="s">
        <v>25</v>
      </c>
      <c r="D34" s="31" t="s">
        <v>16</v>
      </c>
      <c r="E34" s="36">
        <f>Dados!$I43</f>
        <v>27</v>
      </c>
      <c r="F34" s="36" t="str">
        <f>Dados!$J43</f>
        <v>Moderado</v>
      </c>
    </row>
    <row r="35">
      <c r="A35" s="8">
        <v>46121.0</v>
      </c>
      <c r="B35" s="9">
        <v>0.3125</v>
      </c>
      <c r="C35" s="12"/>
      <c r="D35" s="31" t="s">
        <v>20</v>
      </c>
      <c r="E35" s="36">
        <f>Dados!$I44</f>
        <v>41</v>
      </c>
      <c r="F35" s="36" t="str">
        <f>Dados!$J44</f>
        <v>Intenso</v>
      </c>
    </row>
    <row r="36">
      <c r="A36" s="8">
        <v>46121.0</v>
      </c>
      <c r="B36" s="9">
        <v>0.3125</v>
      </c>
      <c r="C36" s="6" t="s">
        <v>27</v>
      </c>
      <c r="D36" s="31" t="s">
        <v>16</v>
      </c>
      <c r="E36" s="36">
        <f>Dados!$I45</f>
        <v>28</v>
      </c>
      <c r="F36" s="36" t="str">
        <f>Dados!$J45</f>
        <v>Leve</v>
      </c>
    </row>
    <row r="37">
      <c r="A37" s="8">
        <v>46121.0</v>
      </c>
      <c r="B37" s="9">
        <v>0.3125</v>
      </c>
      <c r="C37" s="12"/>
      <c r="D37" s="31" t="s">
        <v>20</v>
      </c>
      <c r="E37" s="36">
        <f>Dados!$I46</f>
        <v>42</v>
      </c>
      <c r="F37" s="36" t="str">
        <f>Dados!$J46</f>
        <v>Intenso</v>
      </c>
    </row>
    <row r="38">
      <c r="A38" s="8">
        <v>46121.0</v>
      </c>
      <c r="B38" s="9">
        <v>0.3125</v>
      </c>
      <c r="C38" s="6" t="s">
        <v>31</v>
      </c>
      <c r="D38" s="31" t="s">
        <v>16</v>
      </c>
      <c r="E38" s="36">
        <f>Dados!$I47</f>
        <v>36</v>
      </c>
      <c r="F38" s="36" t="str">
        <f>Dados!$J47</f>
        <v>Leve</v>
      </c>
    </row>
    <row r="39">
      <c r="A39" s="8">
        <v>46121.0</v>
      </c>
      <c r="B39" s="9">
        <v>0.3125</v>
      </c>
      <c r="C39" s="12"/>
      <c r="D39" s="31" t="s">
        <v>20</v>
      </c>
      <c r="E39" s="36">
        <f>Dados!$I48</f>
        <v>44</v>
      </c>
      <c r="F39" s="36" t="str">
        <f>Dados!$J48</f>
        <v>Intenso</v>
      </c>
      <c r="H39" s="35"/>
    </row>
    <row r="40">
      <c r="A40" s="8">
        <v>46121.0</v>
      </c>
      <c r="B40" s="9">
        <v>0.3125</v>
      </c>
      <c r="C40" s="15" t="s">
        <v>33</v>
      </c>
      <c r="D40" s="31" t="s">
        <v>16</v>
      </c>
      <c r="E40" s="36">
        <f>Dados!$I49</f>
        <v>48</v>
      </c>
      <c r="F40" s="36" t="str">
        <f>Dados!$J49</f>
        <v>Intenso</v>
      </c>
    </row>
    <row r="41">
      <c r="A41" s="8">
        <v>46121.0</v>
      </c>
      <c r="B41" s="9">
        <v>0.3125</v>
      </c>
      <c r="C41" s="12"/>
      <c r="D41" s="31" t="s">
        <v>20</v>
      </c>
      <c r="E41" s="36">
        <f>Dados!$I50</f>
        <v>32</v>
      </c>
      <c r="F41" s="36" t="str">
        <f>Dados!$J50</f>
        <v>Intenso</v>
      </c>
    </row>
    <row r="42">
      <c r="A42" s="8">
        <v>46121.0</v>
      </c>
      <c r="B42" s="9">
        <v>0.5208333333333334</v>
      </c>
      <c r="C42" s="6" t="s">
        <v>15</v>
      </c>
      <c r="D42" s="31" t="s">
        <v>16</v>
      </c>
      <c r="E42" s="36">
        <f>Dados!$I53</f>
        <v>32</v>
      </c>
      <c r="F42" s="36" t="str">
        <f>Dados!$J53</f>
        <v>Leve</v>
      </c>
    </row>
    <row r="43">
      <c r="A43" s="8">
        <v>46121.0</v>
      </c>
      <c r="B43" s="9">
        <v>0.5208333333333334</v>
      </c>
      <c r="C43" s="12"/>
      <c r="D43" s="31" t="s">
        <v>20</v>
      </c>
      <c r="E43" s="36">
        <f>Dados!$I54</f>
        <v>40</v>
      </c>
      <c r="F43" s="36" t="str">
        <f>Dados!$J54</f>
        <v>Moderado</v>
      </c>
    </row>
    <row r="44">
      <c r="A44" s="8">
        <v>46121.0</v>
      </c>
      <c r="B44" s="9">
        <v>0.5208333333333334</v>
      </c>
      <c r="C44" s="6" t="s">
        <v>25</v>
      </c>
      <c r="D44" s="31" t="s">
        <v>16</v>
      </c>
      <c r="E44" s="36">
        <f>Dados!$I55</f>
        <v>23</v>
      </c>
      <c r="F44" s="36" t="str">
        <f>Dados!$J55</f>
        <v>Leve</v>
      </c>
    </row>
    <row r="45">
      <c r="A45" s="8">
        <v>46121.0</v>
      </c>
      <c r="B45" s="9">
        <v>0.5208333333333334</v>
      </c>
      <c r="C45" s="12"/>
      <c r="D45" s="31" t="s">
        <v>20</v>
      </c>
      <c r="E45" s="36">
        <f>Dados!$I56</f>
        <v>39</v>
      </c>
      <c r="F45" s="36" t="str">
        <f>Dados!$J56</f>
        <v>Intenso</v>
      </c>
    </row>
    <row r="46">
      <c r="A46" s="8">
        <v>46121.0</v>
      </c>
      <c r="B46" s="9">
        <v>0.5208333333333334</v>
      </c>
      <c r="C46" s="6" t="s">
        <v>27</v>
      </c>
      <c r="D46" s="31" t="s">
        <v>16</v>
      </c>
      <c r="E46" s="36">
        <f>Dados!$I57</f>
        <v>24</v>
      </c>
      <c r="F46" s="36" t="str">
        <f>Dados!$J57</f>
        <v>Leve</v>
      </c>
    </row>
    <row r="47">
      <c r="A47" s="8">
        <v>46121.0</v>
      </c>
      <c r="B47" s="9">
        <v>0.5208333333333334</v>
      </c>
      <c r="C47" s="12"/>
      <c r="D47" s="31" t="s">
        <v>20</v>
      </c>
      <c r="E47" s="36">
        <f>Dados!$I58</f>
        <v>37</v>
      </c>
      <c r="F47" s="36" t="str">
        <f>Dados!$J58</f>
        <v>Intenso</v>
      </c>
    </row>
    <row r="48">
      <c r="A48" s="8">
        <v>46121.0</v>
      </c>
      <c r="B48" s="9">
        <v>0.5208333333333334</v>
      </c>
      <c r="C48" s="6" t="s">
        <v>31</v>
      </c>
      <c r="D48" s="31" t="s">
        <v>16</v>
      </c>
      <c r="E48" s="36">
        <f>Dados!$I59</f>
        <v>30</v>
      </c>
      <c r="F48" s="36" t="str">
        <f>Dados!$J59</f>
        <v>Leve</v>
      </c>
    </row>
    <row r="49">
      <c r="A49" s="8">
        <v>46121.0</v>
      </c>
      <c r="B49" s="9">
        <v>0.5208333333333334</v>
      </c>
      <c r="C49" s="12"/>
      <c r="D49" s="31" t="s">
        <v>20</v>
      </c>
      <c r="E49" s="36">
        <f>Dados!$I60</f>
        <v>34</v>
      </c>
      <c r="F49" s="36" t="str">
        <f>Dados!$J60</f>
        <v>Moderado</v>
      </c>
    </row>
    <row r="50">
      <c r="A50" s="8">
        <v>46121.0</v>
      </c>
      <c r="B50" s="9">
        <v>0.5208333333333334</v>
      </c>
      <c r="C50" s="15" t="s">
        <v>33</v>
      </c>
      <c r="D50" s="31" t="s">
        <v>16</v>
      </c>
      <c r="E50" s="36">
        <f>Dados!$I61</f>
        <v>40</v>
      </c>
      <c r="F50" s="36" t="str">
        <f>Dados!$J61</f>
        <v>Moderado</v>
      </c>
    </row>
    <row r="51">
      <c r="A51" s="8">
        <v>46121.0</v>
      </c>
      <c r="B51" s="9">
        <v>0.5208333333333334</v>
      </c>
      <c r="C51" s="12"/>
      <c r="D51" s="31" t="s">
        <v>20</v>
      </c>
      <c r="E51" s="36">
        <f>Dados!$I62</f>
        <v>35</v>
      </c>
      <c r="F51" s="36" t="str">
        <f>Dados!$J62</f>
        <v>Leve</v>
      </c>
    </row>
    <row r="52">
      <c r="A52" s="8">
        <v>46121.0</v>
      </c>
      <c r="B52" s="9">
        <v>0.7708333333333334</v>
      </c>
      <c r="C52" s="6" t="s">
        <v>15</v>
      </c>
      <c r="D52" s="31" t="s">
        <v>16</v>
      </c>
      <c r="E52" s="36">
        <f>Dados!$I65</f>
        <v>36</v>
      </c>
      <c r="F52" s="36" t="str">
        <f>Dados!$J65</f>
        <v>Moderado</v>
      </c>
    </row>
    <row r="53">
      <c r="A53" s="8">
        <v>46121.0</v>
      </c>
      <c r="B53" s="9">
        <v>0.7708333333333334</v>
      </c>
      <c r="C53" s="12"/>
      <c r="D53" s="31" t="s">
        <v>20</v>
      </c>
      <c r="E53" s="36">
        <f>Dados!$I66</f>
        <v>40</v>
      </c>
      <c r="F53" s="36" t="str">
        <f>Dados!$J66</f>
        <v>Moderado</v>
      </c>
    </row>
    <row r="54">
      <c r="A54" s="8">
        <v>46121.0</v>
      </c>
      <c r="B54" s="9">
        <v>0.7708333333333334</v>
      </c>
      <c r="C54" s="6" t="s">
        <v>25</v>
      </c>
      <c r="D54" s="31" t="s">
        <v>16</v>
      </c>
      <c r="E54" s="36">
        <f>Dados!$I67</f>
        <v>25</v>
      </c>
      <c r="F54" s="36" t="str">
        <f>Dados!$J67</f>
        <v>Moderado</v>
      </c>
    </row>
    <row r="55">
      <c r="A55" s="8">
        <v>46121.0</v>
      </c>
      <c r="B55" s="9">
        <v>0.7708333333333334</v>
      </c>
      <c r="C55" s="12"/>
      <c r="D55" s="31" t="s">
        <v>20</v>
      </c>
      <c r="E55" s="36">
        <f>Dados!$I68</f>
        <v>41</v>
      </c>
      <c r="F55" s="36" t="str">
        <f>Dados!$J68</f>
        <v>Intenso</v>
      </c>
    </row>
    <row r="56">
      <c r="A56" s="8">
        <v>46121.0</v>
      </c>
      <c r="B56" s="9">
        <v>0.7708333333333334</v>
      </c>
      <c r="C56" s="6" t="s">
        <v>27</v>
      </c>
      <c r="D56" s="31" t="s">
        <v>16</v>
      </c>
      <c r="E56" s="36">
        <f>Dados!$I69</f>
        <v>29</v>
      </c>
      <c r="F56" s="36" t="str">
        <f>Dados!$J69</f>
        <v>Leve</v>
      </c>
    </row>
    <row r="57">
      <c r="A57" s="8">
        <v>46121.0</v>
      </c>
      <c r="B57" s="9">
        <v>0.7708333333333334</v>
      </c>
      <c r="C57" s="12"/>
      <c r="D57" s="31" t="s">
        <v>20</v>
      </c>
      <c r="E57" s="36">
        <f>Dados!$I70</f>
        <v>40</v>
      </c>
      <c r="F57" s="36" t="str">
        <f>Dados!$J70</f>
        <v>Intenso</v>
      </c>
    </row>
    <row r="58">
      <c r="A58" s="8">
        <v>46121.0</v>
      </c>
      <c r="B58" s="9">
        <v>0.7708333333333334</v>
      </c>
      <c r="C58" s="6" t="s">
        <v>31</v>
      </c>
      <c r="D58" s="31" t="s">
        <v>16</v>
      </c>
      <c r="E58" s="36">
        <f>Dados!$I71</f>
        <v>38</v>
      </c>
      <c r="F58" s="36" t="str">
        <f>Dados!$J71</f>
        <v>Intenso</v>
      </c>
    </row>
    <row r="59">
      <c r="A59" s="8">
        <v>46121.0</v>
      </c>
      <c r="B59" s="9">
        <v>0.7708333333333334</v>
      </c>
      <c r="C59" s="12"/>
      <c r="D59" s="31" t="s">
        <v>20</v>
      </c>
      <c r="E59" s="36">
        <f>Dados!$I72</f>
        <v>40</v>
      </c>
      <c r="F59" s="36" t="str">
        <f>Dados!$J72</f>
        <v>Intenso</v>
      </c>
    </row>
    <row r="60">
      <c r="A60" s="8">
        <v>46121.0</v>
      </c>
      <c r="B60" s="9">
        <v>0.7708333333333334</v>
      </c>
      <c r="C60" s="15" t="s">
        <v>33</v>
      </c>
      <c r="D60" s="31" t="s">
        <v>16</v>
      </c>
      <c r="E60" s="36">
        <f>Dados!$I73</f>
        <v>46</v>
      </c>
      <c r="F60" s="36" t="str">
        <f>Dados!$J73</f>
        <v>Intenso</v>
      </c>
    </row>
    <row r="61">
      <c r="A61" s="8">
        <v>46121.0</v>
      </c>
      <c r="B61" s="9">
        <v>0.7708333333333334</v>
      </c>
      <c r="C61" s="12"/>
      <c r="D61" s="31" t="s">
        <v>20</v>
      </c>
      <c r="E61" s="36">
        <f>Dados!$I74</f>
        <v>39</v>
      </c>
      <c r="F61" s="36" t="str">
        <f>Dados!$J74</f>
        <v>Leve</v>
      </c>
    </row>
    <row r="62">
      <c r="A62" s="8">
        <v>46120.0</v>
      </c>
      <c r="B62" s="9">
        <v>0.3125</v>
      </c>
      <c r="C62" s="6" t="s">
        <v>15</v>
      </c>
      <c r="D62" s="31" t="s">
        <v>16</v>
      </c>
      <c r="E62" s="36">
        <f>Dados!$I78</f>
        <v>39</v>
      </c>
      <c r="F62" s="36" t="str">
        <f>Dados!$J78</f>
        <v>Moderado</v>
      </c>
    </row>
    <row r="63">
      <c r="A63" s="8">
        <v>46120.0</v>
      </c>
      <c r="B63" s="9">
        <v>0.3125</v>
      </c>
      <c r="C63" s="12"/>
      <c r="D63" s="31" t="s">
        <v>20</v>
      </c>
      <c r="E63" s="36">
        <f>Dados!$I79</f>
        <v>43</v>
      </c>
      <c r="F63" s="36" t="str">
        <f>Dados!$J79</f>
        <v>Intenso</v>
      </c>
    </row>
    <row r="64">
      <c r="A64" s="8">
        <v>46120.0</v>
      </c>
      <c r="B64" s="9">
        <v>0.3125</v>
      </c>
      <c r="C64" s="6" t="s">
        <v>25</v>
      </c>
      <c r="D64" s="31" t="s">
        <v>16</v>
      </c>
      <c r="E64" s="36">
        <f>Dados!$I80</f>
        <v>27</v>
      </c>
      <c r="F64" s="36" t="str">
        <f>Dados!$J80</f>
        <v>Moderado</v>
      </c>
    </row>
    <row r="65">
      <c r="A65" s="8">
        <v>46120.0</v>
      </c>
      <c r="B65" s="9">
        <v>0.3125</v>
      </c>
      <c r="C65" s="12"/>
      <c r="D65" s="31" t="s">
        <v>20</v>
      </c>
      <c r="E65" s="36">
        <f>Dados!$I81</f>
        <v>41</v>
      </c>
      <c r="F65" s="36" t="str">
        <f>Dados!$J81</f>
        <v>Intenso</v>
      </c>
    </row>
    <row r="66">
      <c r="A66" s="8">
        <v>46120.0</v>
      </c>
      <c r="B66" s="9">
        <v>0.3125</v>
      </c>
      <c r="C66" s="6" t="s">
        <v>27</v>
      </c>
      <c r="D66" s="31" t="s">
        <v>16</v>
      </c>
      <c r="E66" s="36">
        <f>Dados!$I82</f>
        <v>28</v>
      </c>
      <c r="F66" s="36" t="str">
        <f>Dados!$J82</f>
        <v>Leve</v>
      </c>
    </row>
    <row r="67">
      <c r="A67" s="8">
        <v>46120.0</v>
      </c>
      <c r="B67" s="9">
        <v>0.3125</v>
      </c>
      <c r="C67" s="12"/>
      <c r="D67" s="31" t="s">
        <v>20</v>
      </c>
      <c r="E67" s="36">
        <f>Dados!$I83</f>
        <v>40</v>
      </c>
      <c r="F67" s="36" t="str">
        <f>Dados!$J83</f>
        <v>Intenso</v>
      </c>
    </row>
    <row r="68">
      <c r="A68" s="8">
        <v>46120.0</v>
      </c>
      <c r="B68" s="9">
        <v>0.3125</v>
      </c>
      <c r="C68" s="6" t="s">
        <v>31</v>
      </c>
      <c r="D68" s="31" t="s">
        <v>16</v>
      </c>
      <c r="E68" s="36">
        <f>Dados!$I84</f>
        <v>36</v>
      </c>
      <c r="F68" s="36" t="str">
        <f>Dados!$J84</f>
        <v>Leve</v>
      </c>
    </row>
    <row r="69">
      <c r="A69" s="8">
        <v>46120.0</v>
      </c>
      <c r="B69" s="9">
        <v>0.3125</v>
      </c>
      <c r="C69" s="12"/>
      <c r="D69" s="31" t="s">
        <v>20</v>
      </c>
      <c r="E69" s="36">
        <f>Dados!$I85</f>
        <v>42</v>
      </c>
      <c r="F69" s="36" t="str">
        <f>Dados!$J85</f>
        <v>Intenso</v>
      </c>
    </row>
    <row r="70">
      <c r="A70" s="8">
        <v>46120.0</v>
      </c>
      <c r="B70" s="9">
        <v>0.3125</v>
      </c>
      <c r="C70" s="15" t="s">
        <v>33</v>
      </c>
      <c r="D70" s="31" t="s">
        <v>16</v>
      </c>
      <c r="E70" s="36">
        <f>Dados!$I86</f>
        <v>46</v>
      </c>
      <c r="F70" s="36" t="str">
        <f>Dados!$J86</f>
        <v>Intenso</v>
      </c>
    </row>
    <row r="71">
      <c r="A71" s="8">
        <v>46120.0</v>
      </c>
      <c r="B71" s="9">
        <v>0.3125</v>
      </c>
      <c r="C71" s="12"/>
      <c r="D71" s="31" t="s">
        <v>20</v>
      </c>
      <c r="E71" s="36">
        <f>Dados!$I87</f>
        <v>42</v>
      </c>
      <c r="F71" s="36" t="str">
        <f>Dados!$J87</f>
        <v>Moderado</v>
      </c>
    </row>
    <row r="72">
      <c r="A72" s="8">
        <v>46120.0</v>
      </c>
      <c r="B72" s="9">
        <v>0.5208333333333334</v>
      </c>
      <c r="C72" s="6" t="s">
        <v>15</v>
      </c>
      <c r="D72" s="31" t="s">
        <v>16</v>
      </c>
      <c r="E72" s="36">
        <f>Dados!$I90</f>
        <v>32</v>
      </c>
      <c r="F72" s="36" t="str">
        <f>Dados!$J90</f>
        <v>Leve</v>
      </c>
    </row>
    <row r="73">
      <c r="A73" s="8">
        <v>46120.0</v>
      </c>
      <c r="B73" s="9">
        <v>0.5208333333333334</v>
      </c>
      <c r="C73" s="12"/>
      <c r="D73" s="31" t="s">
        <v>20</v>
      </c>
      <c r="E73" s="36">
        <f>Dados!$I91</f>
        <v>38</v>
      </c>
      <c r="F73" s="36" t="str">
        <f>Dados!$J91</f>
        <v>Moderado</v>
      </c>
    </row>
    <row r="74">
      <c r="A74" s="8">
        <v>46120.0</v>
      </c>
      <c r="B74" s="9">
        <v>0.5208333333333334</v>
      </c>
      <c r="C74" s="6" t="s">
        <v>25</v>
      </c>
      <c r="D74" s="31" t="s">
        <v>16</v>
      </c>
      <c r="E74" s="36">
        <f>Dados!$I92</f>
        <v>23</v>
      </c>
      <c r="F74" s="36" t="str">
        <f>Dados!$J92</f>
        <v>Leve</v>
      </c>
    </row>
    <row r="75">
      <c r="A75" s="8">
        <v>46120.0</v>
      </c>
      <c r="B75" s="9">
        <v>0.5208333333333334</v>
      </c>
      <c r="C75" s="12"/>
      <c r="D75" s="31" t="s">
        <v>20</v>
      </c>
      <c r="E75" s="36">
        <f>Dados!$I93</f>
        <v>37</v>
      </c>
      <c r="F75" s="36" t="str">
        <f>Dados!$J93</f>
        <v>Intenso</v>
      </c>
    </row>
    <row r="76">
      <c r="A76" s="8">
        <v>46120.0</v>
      </c>
      <c r="B76" s="9">
        <v>0.5208333333333334</v>
      </c>
      <c r="C76" s="6" t="s">
        <v>27</v>
      </c>
      <c r="D76" s="31" t="s">
        <v>16</v>
      </c>
      <c r="E76" s="36">
        <f>Dados!$I94</f>
        <v>25</v>
      </c>
      <c r="F76" s="36" t="str">
        <f>Dados!$J94</f>
        <v>Leve</v>
      </c>
    </row>
    <row r="77">
      <c r="A77" s="8">
        <v>46120.0</v>
      </c>
      <c r="B77" s="9">
        <v>0.5208333333333334</v>
      </c>
      <c r="C77" s="12"/>
      <c r="D77" s="31" t="s">
        <v>20</v>
      </c>
      <c r="E77" s="36">
        <f>Dados!$I95</f>
        <v>37</v>
      </c>
      <c r="F77" s="36" t="str">
        <f>Dados!$J95</f>
        <v>Intenso</v>
      </c>
    </row>
    <row r="78">
      <c r="A78" s="8">
        <v>46120.0</v>
      </c>
      <c r="B78" s="9">
        <v>0.5208333333333334</v>
      </c>
      <c r="C78" s="6" t="s">
        <v>31</v>
      </c>
      <c r="D78" s="31" t="s">
        <v>16</v>
      </c>
      <c r="E78" s="36">
        <f>Dados!$I96</f>
        <v>32</v>
      </c>
      <c r="F78" s="36" t="str">
        <f>Dados!$J96</f>
        <v>Leve</v>
      </c>
    </row>
    <row r="79">
      <c r="A79" s="8">
        <v>46120.0</v>
      </c>
      <c r="B79" s="9">
        <v>0.5208333333333334</v>
      </c>
      <c r="C79" s="12"/>
      <c r="D79" s="31" t="s">
        <v>20</v>
      </c>
      <c r="E79" s="36">
        <f>Dados!$I97</f>
        <v>36</v>
      </c>
      <c r="F79" s="36" t="str">
        <f>Dados!$J97</f>
        <v>Moderado</v>
      </c>
    </row>
    <row r="80">
      <c r="A80" s="8">
        <v>46120.0</v>
      </c>
      <c r="B80" s="9">
        <v>0.5208333333333334</v>
      </c>
      <c r="C80" s="15" t="s">
        <v>33</v>
      </c>
      <c r="D80" s="31" t="s">
        <v>16</v>
      </c>
      <c r="E80" s="36">
        <f>Dados!$I98</f>
        <v>40</v>
      </c>
      <c r="F80" s="36" t="str">
        <f>Dados!$J98</f>
        <v>Moderado</v>
      </c>
    </row>
    <row r="81">
      <c r="A81" s="8">
        <v>46120.0</v>
      </c>
      <c r="B81" s="9">
        <v>0.5208333333333334</v>
      </c>
      <c r="C81" s="12"/>
      <c r="D81" s="31" t="s">
        <v>20</v>
      </c>
      <c r="E81" s="36">
        <f>Dados!$I99</f>
        <v>35</v>
      </c>
      <c r="F81" s="36" t="str">
        <f>Dados!$J99</f>
        <v>Leve</v>
      </c>
    </row>
    <row r="82">
      <c r="A82" s="8">
        <v>46120.0</v>
      </c>
      <c r="B82" s="9">
        <v>0.7708333333333334</v>
      </c>
      <c r="C82" s="6" t="s">
        <v>15</v>
      </c>
      <c r="D82" s="31" t="s">
        <v>16</v>
      </c>
      <c r="E82" s="36">
        <f>Dados!$I102</f>
        <v>36</v>
      </c>
      <c r="F82" s="36" t="str">
        <f>Dados!$J102</f>
        <v>Moderado</v>
      </c>
    </row>
    <row r="83">
      <c r="A83" s="8">
        <v>46120.0</v>
      </c>
      <c r="B83" s="9">
        <v>0.7708333333333334</v>
      </c>
      <c r="C83" s="12"/>
      <c r="D83" s="31" t="s">
        <v>20</v>
      </c>
      <c r="E83" s="36">
        <f>Dados!$I103</f>
        <v>40</v>
      </c>
      <c r="F83" s="36" t="str">
        <f>Dados!$J103</f>
        <v>Moderado</v>
      </c>
    </row>
    <row r="84">
      <c r="A84" s="8">
        <v>46120.0</v>
      </c>
      <c r="B84" s="9">
        <v>0.7708333333333334</v>
      </c>
      <c r="C84" s="6" t="s">
        <v>25</v>
      </c>
      <c r="D84" s="31" t="s">
        <v>16</v>
      </c>
      <c r="E84" s="36">
        <f>Dados!$I104</f>
        <v>25</v>
      </c>
      <c r="F84" s="36" t="str">
        <f>Dados!$J104</f>
        <v>Moderado</v>
      </c>
    </row>
    <row r="85">
      <c r="A85" s="8">
        <v>46120.0</v>
      </c>
      <c r="B85" s="9">
        <v>0.7708333333333334</v>
      </c>
      <c r="C85" s="12"/>
      <c r="D85" s="31" t="s">
        <v>20</v>
      </c>
      <c r="E85" s="36">
        <f>Dados!$I105</f>
        <v>41</v>
      </c>
      <c r="F85" s="36" t="str">
        <f>Dados!$J105</f>
        <v>Intenso</v>
      </c>
    </row>
    <row r="86">
      <c r="A86" s="8">
        <v>46120.0</v>
      </c>
      <c r="B86" s="9">
        <v>0.7708333333333334</v>
      </c>
      <c r="C86" s="6" t="s">
        <v>27</v>
      </c>
      <c r="D86" s="31" t="s">
        <v>16</v>
      </c>
      <c r="E86" s="36">
        <f>Dados!$I106</f>
        <v>27</v>
      </c>
      <c r="F86" s="36" t="str">
        <f>Dados!$J106</f>
        <v>Leve</v>
      </c>
    </row>
    <row r="87">
      <c r="A87" s="8">
        <v>46120.0</v>
      </c>
      <c r="B87" s="9">
        <v>0.7708333333333334</v>
      </c>
      <c r="C87" s="12"/>
      <c r="D87" s="31" t="s">
        <v>20</v>
      </c>
      <c r="E87" s="36">
        <f>Dados!$I107</f>
        <v>41</v>
      </c>
      <c r="F87" s="36" t="str">
        <f>Dados!$J107</f>
        <v>Intenso</v>
      </c>
    </row>
    <row r="88">
      <c r="A88" s="8">
        <v>46120.0</v>
      </c>
      <c r="B88" s="9">
        <v>0.7708333333333334</v>
      </c>
      <c r="C88" s="6" t="s">
        <v>31</v>
      </c>
      <c r="D88" s="31" t="s">
        <v>16</v>
      </c>
      <c r="E88" s="36">
        <f>Dados!$I108</f>
        <v>34</v>
      </c>
      <c r="F88" s="36" t="str">
        <f>Dados!$J108</f>
        <v>Moderado</v>
      </c>
    </row>
    <row r="89">
      <c r="A89" s="8">
        <v>46120.0</v>
      </c>
      <c r="B89" s="9">
        <v>0.7708333333333334</v>
      </c>
      <c r="C89" s="12"/>
      <c r="D89" s="31" t="s">
        <v>20</v>
      </c>
      <c r="E89" s="36">
        <f>Dados!$I109</f>
        <v>36</v>
      </c>
      <c r="F89" s="36" t="str">
        <f>Dados!$J109</f>
        <v>Intenso</v>
      </c>
    </row>
    <row r="90">
      <c r="A90" s="8">
        <v>46120.0</v>
      </c>
      <c r="B90" s="9">
        <v>0.7708333333333334</v>
      </c>
      <c r="C90" s="15" t="s">
        <v>33</v>
      </c>
      <c r="D90" s="31" t="s">
        <v>16</v>
      </c>
      <c r="E90" s="36">
        <f>Dados!$I110</f>
        <v>44</v>
      </c>
      <c r="F90" s="36" t="str">
        <f>Dados!$J110</f>
        <v>Moderado</v>
      </c>
    </row>
    <row r="91">
      <c r="A91" s="8">
        <v>46120.0</v>
      </c>
      <c r="B91" s="9">
        <v>0.7708333333333334</v>
      </c>
      <c r="C91" s="12"/>
      <c r="D91" s="31" t="s">
        <v>20</v>
      </c>
      <c r="E91" s="36">
        <f>Dados!$I111</f>
        <v>38</v>
      </c>
      <c r="F91" s="36" t="str">
        <f>Dados!$J111</f>
        <v>Leve</v>
      </c>
    </row>
    <row r="92">
      <c r="A92" s="8">
        <v>46119.0</v>
      </c>
      <c r="B92" s="9">
        <v>0.3125</v>
      </c>
      <c r="C92" s="6" t="s">
        <v>15</v>
      </c>
      <c r="D92" s="31" t="s">
        <v>16</v>
      </c>
      <c r="E92" s="36">
        <f>Dados!$I115</f>
        <v>39</v>
      </c>
      <c r="F92" s="36" t="str">
        <f>Dados!$J115</f>
        <v>Moderado</v>
      </c>
    </row>
    <row r="93">
      <c r="A93" s="8">
        <v>46119.0</v>
      </c>
      <c r="B93" s="9">
        <v>0.3125</v>
      </c>
      <c r="C93" s="12"/>
      <c r="D93" s="31" t="s">
        <v>20</v>
      </c>
      <c r="E93" s="36">
        <f>Dados!$I116</f>
        <v>43</v>
      </c>
      <c r="F93" s="36" t="str">
        <f>Dados!$J116</f>
        <v>Intenso</v>
      </c>
    </row>
    <row r="94">
      <c r="A94" s="8">
        <v>46119.0</v>
      </c>
      <c r="B94" s="9">
        <v>0.3125</v>
      </c>
      <c r="C94" s="6" t="s">
        <v>25</v>
      </c>
      <c r="D94" s="31" t="s">
        <v>16</v>
      </c>
      <c r="E94" s="36">
        <f>Dados!$I117</f>
        <v>27</v>
      </c>
      <c r="F94" s="36" t="str">
        <f>Dados!$J117</f>
        <v>Moderado</v>
      </c>
    </row>
    <row r="95">
      <c r="A95" s="8">
        <v>46119.0</v>
      </c>
      <c r="B95" s="9">
        <v>0.3125</v>
      </c>
      <c r="C95" s="12"/>
      <c r="D95" s="31" t="s">
        <v>20</v>
      </c>
      <c r="E95" s="36">
        <f>Dados!$I118</f>
        <v>41</v>
      </c>
      <c r="F95" s="36" t="str">
        <f>Dados!$J118</f>
        <v>Intenso</v>
      </c>
    </row>
    <row r="96">
      <c r="A96" s="8">
        <v>46119.0</v>
      </c>
      <c r="B96" s="9">
        <v>0.3125</v>
      </c>
      <c r="C96" s="6" t="s">
        <v>27</v>
      </c>
      <c r="D96" s="31" t="s">
        <v>16</v>
      </c>
      <c r="E96" s="36">
        <f>Dados!$I119</f>
        <v>30</v>
      </c>
      <c r="F96" s="36" t="str">
        <f>Dados!$J119</f>
        <v>Leve</v>
      </c>
    </row>
    <row r="97">
      <c r="A97" s="8">
        <v>46119.0</v>
      </c>
      <c r="B97" s="9">
        <v>0.3125</v>
      </c>
      <c r="C97" s="12"/>
      <c r="D97" s="31" t="s">
        <v>20</v>
      </c>
      <c r="E97" s="36">
        <f>Dados!$I120</f>
        <v>42</v>
      </c>
      <c r="F97" s="36" t="str">
        <f>Dados!$J120</f>
        <v>Intenso</v>
      </c>
    </row>
    <row r="98">
      <c r="A98" s="8">
        <v>46119.0</v>
      </c>
      <c r="B98" s="9">
        <v>0.3125</v>
      </c>
      <c r="C98" s="6" t="s">
        <v>31</v>
      </c>
      <c r="D98" s="31" t="s">
        <v>16</v>
      </c>
      <c r="E98" s="36">
        <f>Dados!$I121</f>
        <v>36</v>
      </c>
      <c r="F98" s="36" t="str">
        <f>Dados!$J121</f>
        <v>Leve</v>
      </c>
    </row>
    <row r="99">
      <c r="A99" s="8">
        <v>46119.0</v>
      </c>
      <c r="B99" s="9">
        <v>0.3125</v>
      </c>
      <c r="C99" s="12"/>
      <c r="D99" s="31" t="s">
        <v>20</v>
      </c>
      <c r="E99" s="36">
        <f>Dados!$I122</f>
        <v>42</v>
      </c>
      <c r="F99" s="36" t="str">
        <f>Dados!$J122</f>
        <v>Intenso</v>
      </c>
    </row>
    <row r="100">
      <c r="A100" s="8">
        <v>46119.0</v>
      </c>
      <c r="B100" s="9">
        <v>0.3125</v>
      </c>
      <c r="C100" s="15" t="s">
        <v>33</v>
      </c>
      <c r="D100" s="31" t="s">
        <v>16</v>
      </c>
      <c r="E100" s="36">
        <f>Dados!$I123</f>
        <v>48</v>
      </c>
      <c r="F100" s="36" t="str">
        <f>Dados!$J123</f>
        <v>Intenso</v>
      </c>
    </row>
    <row r="101">
      <c r="A101" s="8">
        <v>46119.0</v>
      </c>
      <c r="B101" s="9">
        <v>0.3125</v>
      </c>
      <c r="C101" s="12"/>
      <c r="D101" s="31" t="s">
        <v>20</v>
      </c>
      <c r="E101" s="36">
        <f>Dados!$I124</f>
        <v>44</v>
      </c>
      <c r="F101" s="36" t="str">
        <f>Dados!$J124</f>
        <v>Moderado</v>
      </c>
    </row>
    <row r="102">
      <c r="A102" s="8">
        <v>46119.0</v>
      </c>
      <c r="B102" s="9">
        <v>0.5208333333333334</v>
      </c>
      <c r="C102" s="6" t="s">
        <v>15</v>
      </c>
      <c r="D102" s="31" t="s">
        <v>16</v>
      </c>
      <c r="E102" s="36">
        <f>Dados!$I127</f>
        <v>32</v>
      </c>
      <c r="F102" s="36" t="str">
        <f>Dados!$J115</f>
        <v>Moderado</v>
      </c>
    </row>
    <row r="103">
      <c r="A103" s="8">
        <v>46119.0</v>
      </c>
      <c r="B103" s="9">
        <v>0.5208333333333334</v>
      </c>
      <c r="C103" s="12"/>
      <c r="D103" s="31" t="s">
        <v>20</v>
      </c>
      <c r="E103" s="36">
        <f>Dados!$I128</f>
        <v>38</v>
      </c>
      <c r="F103" s="36" t="str">
        <f>Dados!$J116</f>
        <v>Intenso</v>
      </c>
    </row>
    <row r="104">
      <c r="A104" s="8">
        <v>46119.0</v>
      </c>
      <c r="B104" s="9">
        <v>0.5208333333333334</v>
      </c>
      <c r="C104" s="6" t="s">
        <v>25</v>
      </c>
      <c r="D104" s="31" t="s">
        <v>16</v>
      </c>
      <c r="E104" s="36">
        <f>Dados!$I129</f>
        <v>23</v>
      </c>
      <c r="F104" s="36" t="str">
        <f>Dados!$J117</f>
        <v>Moderado</v>
      </c>
    </row>
    <row r="105">
      <c r="A105" s="8">
        <v>46119.0</v>
      </c>
      <c r="B105" s="9">
        <v>0.5208333333333334</v>
      </c>
      <c r="C105" s="12"/>
      <c r="D105" s="31" t="s">
        <v>20</v>
      </c>
      <c r="E105" s="36">
        <f>Dados!$I130</f>
        <v>37</v>
      </c>
      <c r="F105" s="36" t="str">
        <f>Dados!$J118</f>
        <v>Intenso</v>
      </c>
    </row>
    <row r="106">
      <c r="A106" s="8">
        <v>46119.0</v>
      </c>
      <c r="B106" s="9">
        <v>0.5208333333333334</v>
      </c>
      <c r="C106" s="6" t="s">
        <v>27</v>
      </c>
      <c r="D106" s="31" t="s">
        <v>16</v>
      </c>
      <c r="E106" s="36">
        <f>Dados!$I131</f>
        <v>24</v>
      </c>
      <c r="F106" s="36" t="str">
        <f>Dados!$J119</f>
        <v>Leve</v>
      </c>
    </row>
    <row r="107">
      <c r="A107" s="8">
        <v>46119.0</v>
      </c>
      <c r="B107" s="9">
        <v>0.5208333333333334</v>
      </c>
      <c r="C107" s="12"/>
      <c r="D107" s="31" t="s">
        <v>20</v>
      </c>
      <c r="E107" s="36">
        <f>Dados!$I132</f>
        <v>37</v>
      </c>
      <c r="F107" s="36" t="str">
        <f>Dados!$J120</f>
        <v>Intenso</v>
      </c>
    </row>
    <row r="108">
      <c r="A108" s="8">
        <v>46119.0</v>
      </c>
      <c r="B108" s="9">
        <v>0.5208333333333334</v>
      </c>
      <c r="C108" s="6" t="s">
        <v>31</v>
      </c>
      <c r="D108" s="31" t="s">
        <v>16</v>
      </c>
      <c r="E108" s="36">
        <f>Dados!$I133</f>
        <v>32</v>
      </c>
      <c r="F108" s="36" t="str">
        <f>Dados!$J121</f>
        <v>Leve</v>
      </c>
    </row>
    <row r="109">
      <c r="A109" s="8">
        <v>46119.0</v>
      </c>
      <c r="B109" s="9">
        <v>0.5208333333333334</v>
      </c>
      <c r="C109" s="12"/>
      <c r="D109" s="31" t="s">
        <v>20</v>
      </c>
      <c r="E109" s="36">
        <f>Dados!$I134</f>
        <v>36</v>
      </c>
      <c r="F109" s="36" t="str">
        <f>Dados!$J122</f>
        <v>Intenso</v>
      </c>
    </row>
    <row r="110">
      <c r="A110" s="8">
        <v>46119.0</v>
      </c>
      <c r="B110" s="9">
        <v>0.5208333333333334</v>
      </c>
      <c r="C110" s="15" t="s">
        <v>33</v>
      </c>
      <c r="D110" s="31" t="s">
        <v>16</v>
      </c>
      <c r="E110" s="36">
        <f>Dados!$I135</f>
        <v>40</v>
      </c>
      <c r="F110" s="36" t="str">
        <f>Dados!$J123</f>
        <v>Intenso</v>
      </c>
    </row>
    <row r="111">
      <c r="A111" s="8">
        <v>46119.0</v>
      </c>
      <c r="B111" s="9">
        <v>0.5208333333333334</v>
      </c>
      <c r="C111" s="12"/>
      <c r="D111" s="31" t="s">
        <v>20</v>
      </c>
      <c r="E111" s="36">
        <f>Dados!$I136</f>
        <v>35</v>
      </c>
      <c r="F111" s="36" t="str">
        <f>Dados!$J124</f>
        <v>Moderado</v>
      </c>
    </row>
    <row r="112">
      <c r="A112" s="8">
        <v>46119.0</v>
      </c>
      <c r="B112" s="9">
        <v>0.7708333333333334</v>
      </c>
      <c r="C112" s="6" t="s">
        <v>15</v>
      </c>
      <c r="D112" s="31" t="s">
        <v>16</v>
      </c>
      <c r="E112" s="36">
        <f>Dados!$I139</f>
        <v>36</v>
      </c>
      <c r="F112" s="36" t="str">
        <f>Dados!$J139</f>
        <v>Moderado</v>
      </c>
    </row>
    <row r="113">
      <c r="A113" s="8">
        <v>46119.0</v>
      </c>
      <c r="B113" s="9">
        <v>0.7708333333333334</v>
      </c>
      <c r="C113" s="12"/>
      <c r="D113" s="31" t="s">
        <v>20</v>
      </c>
      <c r="E113" s="36">
        <f>Dados!$I140</f>
        <v>40</v>
      </c>
      <c r="F113" s="36" t="str">
        <f>Dados!$J140</f>
        <v>Moderado</v>
      </c>
    </row>
    <row r="114">
      <c r="A114" s="8">
        <v>46119.0</v>
      </c>
      <c r="B114" s="9">
        <v>0.7708333333333334</v>
      </c>
      <c r="C114" s="6" t="s">
        <v>25</v>
      </c>
      <c r="D114" s="31" t="s">
        <v>16</v>
      </c>
      <c r="E114" s="36">
        <f>Dados!$I141</f>
        <v>25</v>
      </c>
      <c r="F114" s="36" t="str">
        <f>Dados!$J141</f>
        <v>Moderado</v>
      </c>
    </row>
    <row r="115">
      <c r="A115" s="8">
        <v>46119.0</v>
      </c>
      <c r="B115" s="9">
        <v>0.7708333333333334</v>
      </c>
      <c r="C115" s="12"/>
      <c r="D115" s="31" t="s">
        <v>20</v>
      </c>
      <c r="E115" s="36">
        <f>Dados!$I142</f>
        <v>39</v>
      </c>
      <c r="F115" s="36" t="str">
        <f>Dados!$J142</f>
        <v>Intenso</v>
      </c>
    </row>
    <row r="116">
      <c r="A116" s="8">
        <v>46119.0</v>
      </c>
      <c r="B116" s="9">
        <v>0.7708333333333334</v>
      </c>
      <c r="C116" s="6" t="s">
        <v>27</v>
      </c>
      <c r="D116" s="31" t="s">
        <v>16</v>
      </c>
      <c r="E116" s="36">
        <f>Dados!$I143</f>
        <v>28</v>
      </c>
      <c r="F116" s="36" t="str">
        <f>Dados!$J143</f>
        <v>Leve</v>
      </c>
    </row>
    <row r="117">
      <c r="A117" s="8">
        <v>46119.0</v>
      </c>
      <c r="B117" s="9">
        <v>0.7708333333333334</v>
      </c>
      <c r="C117" s="12"/>
      <c r="D117" s="31" t="s">
        <v>20</v>
      </c>
      <c r="E117" s="36">
        <f>Dados!$I144</f>
        <v>40</v>
      </c>
      <c r="F117" s="36" t="str">
        <f>Dados!$J144</f>
        <v>Intenso</v>
      </c>
    </row>
    <row r="118">
      <c r="A118" s="8">
        <v>46119.0</v>
      </c>
      <c r="B118" s="9">
        <v>0.7708333333333334</v>
      </c>
      <c r="C118" s="6" t="s">
        <v>31</v>
      </c>
      <c r="D118" s="31" t="s">
        <v>16</v>
      </c>
      <c r="E118" s="36">
        <f>Dados!$I145</f>
        <v>36</v>
      </c>
      <c r="F118" s="36" t="str">
        <f>Dados!$J145</f>
        <v>Moderado</v>
      </c>
    </row>
    <row r="119">
      <c r="A119" s="8">
        <v>46119.0</v>
      </c>
      <c r="B119" s="9">
        <v>0.7708333333333334</v>
      </c>
      <c r="C119" s="12"/>
      <c r="D119" s="31" t="s">
        <v>20</v>
      </c>
      <c r="E119" s="36">
        <f>Dados!$I146</f>
        <v>36</v>
      </c>
      <c r="F119" s="36" t="str">
        <f>Dados!$J146</f>
        <v>Moderado</v>
      </c>
    </row>
    <row r="120">
      <c r="A120" s="8">
        <v>46119.0</v>
      </c>
      <c r="B120" s="9">
        <v>0.7708333333333334</v>
      </c>
      <c r="C120" s="15" t="s">
        <v>33</v>
      </c>
      <c r="D120" s="31" t="s">
        <v>16</v>
      </c>
      <c r="E120" s="36">
        <f>Dados!$I147</f>
        <v>44</v>
      </c>
      <c r="F120" s="36" t="str">
        <f>Dados!$J147</f>
        <v>Intenso</v>
      </c>
    </row>
    <row r="121">
      <c r="A121" s="8">
        <v>46119.0</v>
      </c>
      <c r="B121" s="9">
        <v>0.7708333333333334</v>
      </c>
      <c r="C121" s="12"/>
      <c r="D121" s="31" t="s">
        <v>20</v>
      </c>
      <c r="E121" s="36">
        <f>Dados!$I148</f>
        <v>39</v>
      </c>
      <c r="F121" s="36" t="str">
        <f>Dados!$J148</f>
        <v>Leve</v>
      </c>
    </row>
    <row r="122">
      <c r="A122" s="8">
        <v>46118.0</v>
      </c>
      <c r="B122" s="9">
        <v>0.3125</v>
      </c>
      <c r="C122" s="6" t="s">
        <v>15</v>
      </c>
      <c r="D122" s="31" t="s">
        <v>16</v>
      </c>
      <c r="E122" s="36">
        <f>Dados!$I152</f>
        <v>37</v>
      </c>
      <c r="F122" s="36" t="str">
        <f>Dados!$J152</f>
        <v>Moderado</v>
      </c>
    </row>
    <row r="123">
      <c r="A123" s="8">
        <v>46118.0</v>
      </c>
      <c r="B123" s="9">
        <v>0.3125</v>
      </c>
      <c r="C123" s="12"/>
      <c r="D123" s="31" t="s">
        <v>20</v>
      </c>
      <c r="E123" s="36">
        <f>Dados!$I153</f>
        <v>43</v>
      </c>
      <c r="F123" s="36" t="str">
        <f>Dados!$J153</f>
        <v>Intenso</v>
      </c>
    </row>
    <row r="124">
      <c r="A124" s="8">
        <v>46118.0</v>
      </c>
      <c r="B124" s="9">
        <v>0.3125</v>
      </c>
      <c r="C124" s="6" t="s">
        <v>25</v>
      </c>
      <c r="D124" s="31" t="s">
        <v>16</v>
      </c>
      <c r="E124" s="36">
        <f>Dados!$I154</f>
        <v>25</v>
      </c>
      <c r="F124" s="36" t="str">
        <f>Dados!$J154</f>
        <v>Moderado</v>
      </c>
    </row>
    <row r="125">
      <c r="A125" s="8">
        <v>46118.0</v>
      </c>
      <c r="B125" s="9">
        <v>0.3125</v>
      </c>
      <c r="C125" s="12"/>
      <c r="D125" s="31" t="s">
        <v>20</v>
      </c>
      <c r="E125" s="36">
        <f>Dados!$I155</f>
        <v>41</v>
      </c>
      <c r="F125" s="36" t="str">
        <f>Dados!$J155</f>
        <v>Intenso</v>
      </c>
    </row>
    <row r="126">
      <c r="A126" s="8">
        <v>46118.0</v>
      </c>
      <c r="B126" s="9">
        <v>0.3125</v>
      </c>
      <c r="C126" s="6" t="s">
        <v>27</v>
      </c>
      <c r="D126" s="31" t="s">
        <v>16</v>
      </c>
      <c r="E126" s="36">
        <f>Dados!$I156</f>
        <v>27</v>
      </c>
      <c r="F126" s="36" t="str">
        <f>Dados!$J156</f>
        <v>Leve</v>
      </c>
    </row>
    <row r="127">
      <c r="A127" s="8">
        <v>46118.0</v>
      </c>
      <c r="B127" s="9">
        <v>0.3125</v>
      </c>
      <c r="C127" s="12"/>
      <c r="D127" s="31" t="s">
        <v>20</v>
      </c>
      <c r="E127" s="36">
        <f>Dados!$I157</f>
        <v>39</v>
      </c>
      <c r="F127" s="36" t="str">
        <f>Dados!$J157</f>
        <v>Intenso</v>
      </c>
    </row>
    <row r="128">
      <c r="A128" s="8">
        <v>46118.0</v>
      </c>
      <c r="B128" s="9">
        <v>0.3125</v>
      </c>
      <c r="C128" s="6" t="s">
        <v>31</v>
      </c>
      <c r="D128" s="31" t="s">
        <v>16</v>
      </c>
      <c r="E128" s="36">
        <f>Dados!$I158</f>
        <v>34</v>
      </c>
      <c r="F128" s="36" t="str">
        <f>Dados!$J158</f>
        <v>Leve</v>
      </c>
    </row>
    <row r="129">
      <c r="A129" s="8">
        <v>46118.0</v>
      </c>
      <c r="B129" s="9">
        <v>0.3125</v>
      </c>
      <c r="C129" s="12"/>
      <c r="D129" s="31" t="s">
        <v>20</v>
      </c>
      <c r="E129" s="36">
        <f>Dados!$I159</f>
        <v>42</v>
      </c>
      <c r="F129" s="36" t="str">
        <f>Dados!$J159</f>
        <v>Intenso</v>
      </c>
    </row>
    <row r="130">
      <c r="A130" s="8">
        <v>46118.0</v>
      </c>
      <c r="B130" s="9">
        <v>0.3125</v>
      </c>
      <c r="C130" s="15" t="s">
        <v>33</v>
      </c>
      <c r="D130" s="31" t="s">
        <v>16</v>
      </c>
      <c r="E130" s="36">
        <f>Dados!$I160</f>
        <v>46</v>
      </c>
      <c r="F130" s="36" t="str">
        <f>Dados!$J160</f>
        <v>Intenso</v>
      </c>
    </row>
    <row r="131">
      <c r="A131" s="8">
        <v>46118.0</v>
      </c>
      <c r="B131" s="9">
        <v>0.3125</v>
      </c>
      <c r="C131" s="12"/>
      <c r="D131" s="31" t="s">
        <v>20</v>
      </c>
      <c r="E131" s="36">
        <f>Dados!$I161</f>
        <v>40</v>
      </c>
      <c r="F131" s="36" t="str">
        <f>Dados!$J161</f>
        <v>Moderado</v>
      </c>
    </row>
    <row r="132">
      <c r="A132" s="8">
        <v>46118.0</v>
      </c>
      <c r="B132" s="9">
        <v>0.5208333333333334</v>
      </c>
      <c r="C132" s="6" t="s">
        <v>15</v>
      </c>
      <c r="D132" s="31" t="s">
        <v>16</v>
      </c>
      <c r="E132" s="36">
        <f>Dados!$I164</f>
        <v>32</v>
      </c>
      <c r="F132" s="36" t="str">
        <f>Dados!$J164</f>
        <v>Leve</v>
      </c>
    </row>
    <row r="133">
      <c r="A133" s="8">
        <v>46118.0</v>
      </c>
      <c r="B133" s="9">
        <v>0.5208333333333334</v>
      </c>
      <c r="C133" s="12"/>
      <c r="D133" s="31" t="s">
        <v>20</v>
      </c>
      <c r="E133" s="36">
        <f>Dados!$I165</f>
        <v>38</v>
      </c>
      <c r="F133" s="36" t="str">
        <f>Dados!$J165</f>
        <v>Moderado</v>
      </c>
    </row>
    <row r="134">
      <c r="A134" s="8">
        <v>46118.0</v>
      </c>
      <c r="B134" s="9">
        <v>0.5208333333333334</v>
      </c>
      <c r="C134" s="6" t="s">
        <v>25</v>
      </c>
      <c r="D134" s="31" t="s">
        <v>16</v>
      </c>
      <c r="E134" s="36">
        <f>Dados!$I166</f>
        <v>23</v>
      </c>
      <c r="F134" s="36" t="str">
        <f>Dados!$J166</f>
        <v>Leve</v>
      </c>
    </row>
    <row r="135">
      <c r="A135" s="8">
        <v>46118.0</v>
      </c>
      <c r="B135" s="9">
        <v>0.5208333333333334</v>
      </c>
      <c r="C135" s="12"/>
      <c r="D135" s="31" t="s">
        <v>20</v>
      </c>
      <c r="E135" s="36">
        <f>Dados!$I167</f>
        <v>37</v>
      </c>
      <c r="F135" s="36" t="str">
        <f>Dados!$J167</f>
        <v>Intenso</v>
      </c>
    </row>
    <row r="136">
      <c r="A136" s="8">
        <v>46118.0</v>
      </c>
      <c r="B136" s="9">
        <v>0.5208333333333334</v>
      </c>
      <c r="C136" s="6" t="s">
        <v>27</v>
      </c>
      <c r="D136" s="31" t="s">
        <v>16</v>
      </c>
      <c r="E136" s="36">
        <f>Dados!$I168</f>
        <v>23</v>
      </c>
      <c r="F136" s="36" t="str">
        <f>Dados!$J168</f>
        <v>Leve</v>
      </c>
    </row>
    <row r="137">
      <c r="A137" s="8">
        <v>46118.0</v>
      </c>
      <c r="B137" s="9">
        <v>0.5208333333333334</v>
      </c>
      <c r="C137" s="12"/>
      <c r="D137" s="31" t="s">
        <v>20</v>
      </c>
      <c r="E137" s="36">
        <f>Dados!$I169</f>
        <v>36</v>
      </c>
      <c r="F137" s="36" t="str">
        <f>Dados!$J169</f>
        <v>Intenso</v>
      </c>
    </row>
    <row r="138">
      <c r="A138" s="8">
        <v>46118.0</v>
      </c>
      <c r="B138" s="9">
        <v>0.5208333333333334</v>
      </c>
      <c r="C138" s="6" t="s">
        <v>31</v>
      </c>
      <c r="D138" s="31" t="s">
        <v>16</v>
      </c>
      <c r="E138" s="36">
        <f>Dados!$I170</f>
        <v>30</v>
      </c>
      <c r="F138" s="36" t="str">
        <f>Dados!$J170</f>
        <v>Leve</v>
      </c>
    </row>
    <row r="139">
      <c r="A139" s="8">
        <v>46118.0</v>
      </c>
      <c r="B139" s="9">
        <v>0.5208333333333334</v>
      </c>
      <c r="C139" s="12"/>
      <c r="D139" s="31" t="s">
        <v>20</v>
      </c>
      <c r="E139" s="36">
        <f>Dados!$I171</f>
        <v>34</v>
      </c>
      <c r="F139" s="36" t="str">
        <f>Dados!$J171</f>
        <v>Moderado</v>
      </c>
    </row>
    <row r="140">
      <c r="A140" s="8">
        <v>46118.0</v>
      </c>
      <c r="B140" s="9">
        <v>0.5208333333333334</v>
      </c>
      <c r="C140" s="15" t="s">
        <v>33</v>
      </c>
      <c r="D140" s="31" t="s">
        <v>16</v>
      </c>
      <c r="E140" s="36">
        <f>Dados!$I172</f>
        <v>38</v>
      </c>
      <c r="F140" s="36" t="str">
        <f>Dados!$J172</f>
        <v>Moderado</v>
      </c>
    </row>
    <row r="141">
      <c r="A141" s="8">
        <v>46118.0</v>
      </c>
      <c r="B141" s="9">
        <v>0.5208333333333334</v>
      </c>
      <c r="C141" s="12"/>
      <c r="D141" s="31" t="s">
        <v>20</v>
      </c>
      <c r="E141" s="36">
        <f>Dados!$I173</f>
        <v>35</v>
      </c>
      <c r="F141" s="36" t="str">
        <f>Dados!$J173</f>
        <v>Leve</v>
      </c>
    </row>
    <row r="142">
      <c r="A142" s="8">
        <v>46118.0</v>
      </c>
      <c r="B142" s="9">
        <v>0.7708333333333334</v>
      </c>
      <c r="C142" s="6" t="s">
        <v>15</v>
      </c>
      <c r="D142" s="31" t="s">
        <v>16</v>
      </c>
      <c r="E142" s="36">
        <f>Dados!$I176</f>
        <v>35</v>
      </c>
      <c r="F142" s="36" t="str">
        <f>Dados!$J176</f>
        <v>Leve</v>
      </c>
    </row>
    <row r="143">
      <c r="A143" s="8">
        <v>46118.0</v>
      </c>
      <c r="B143" s="9">
        <v>0.7708333333333334</v>
      </c>
      <c r="C143" s="12"/>
      <c r="D143" s="31" t="s">
        <v>20</v>
      </c>
      <c r="E143" s="36">
        <f>Dados!$I177</f>
        <v>39</v>
      </c>
      <c r="F143" s="36" t="str">
        <f>Dados!$J177</f>
        <v>Moderado</v>
      </c>
    </row>
    <row r="144">
      <c r="A144" s="8">
        <v>46118.0</v>
      </c>
      <c r="B144" s="9">
        <v>0.7708333333333334</v>
      </c>
      <c r="C144" s="6" t="s">
        <v>25</v>
      </c>
      <c r="D144" s="31" t="s">
        <v>16</v>
      </c>
      <c r="E144" s="36">
        <f>Dados!$I178</f>
        <v>23</v>
      </c>
      <c r="F144" s="36" t="str">
        <f>Dados!$J178</f>
        <v>Leve</v>
      </c>
    </row>
    <row r="145">
      <c r="A145" s="8">
        <v>46118.0</v>
      </c>
      <c r="B145" s="9">
        <v>0.7708333333333334</v>
      </c>
      <c r="C145" s="12"/>
      <c r="D145" s="31" t="s">
        <v>20</v>
      </c>
      <c r="E145" s="36">
        <f>Dados!$I179</f>
        <v>39</v>
      </c>
      <c r="F145" s="36" t="str">
        <f>Dados!$J179</f>
        <v>Intenso</v>
      </c>
    </row>
    <row r="146">
      <c r="A146" s="8">
        <v>46118.0</v>
      </c>
      <c r="B146" s="9">
        <v>0.7708333333333334</v>
      </c>
      <c r="C146" s="6" t="s">
        <v>27</v>
      </c>
      <c r="D146" s="31" t="s">
        <v>16</v>
      </c>
      <c r="E146" s="36">
        <f>Dados!$I180</f>
        <v>27</v>
      </c>
      <c r="F146" s="36" t="str">
        <f>Dados!$J180</f>
        <v>Leve</v>
      </c>
    </row>
    <row r="147">
      <c r="A147" s="8">
        <v>46118.0</v>
      </c>
      <c r="B147" s="9">
        <v>0.7708333333333334</v>
      </c>
      <c r="C147" s="12"/>
      <c r="D147" s="31" t="s">
        <v>20</v>
      </c>
      <c r="E147" s="36">
        <f>Dados!$I181</f>
        <v>39</v>
      </c>
      <c r="F147" s="36" t="str">
        <f>Dados!$J181</f>
        <v>Intenso</v>
      </c>
    </row>
    <row r="148">
      <c r="A148" s="8">
        <v>46118.0</v>
      </c>
      <c r="B148" s="9">
        <v>0.7708333333333334</v>
      </c>
      <c r="C148" s="6" t="s">
        <v>31</v>
      </c>
      <c r="D148" s="31" t="s">
        <v>16</v>
      </c>
      <c r="E148" s="36">
        <f>Dados!$I182</f>
        <v>34</v>
      </c>
      <c r="F148" s="36" t="str">
        <f>Dados!$J182</f>
        <v>Moderado</v>
      </c>
    </row>
    <row r="149">
      <c r="A149" s="8">
        <v>46118.0</v>
      </c>
      <c r="B149" s="9">
        <v>0.7708333333333334</v>
      </c>
      <c r="C149" s="12"/>
      <c r="D149" s="31" t="s">
        <v>20</v>
      </c>
      <c r="E149" s="36">
        <f>Dados!$I183</f>
        <v>36</v>
      </c>
      <c r="F149" s="36" t="str">
        <f>Dados!$J183</f>
        <v>Moderado</v>
      </c>
    </row>
    <row r="150">
      <c r="A150" s="8">
        <v>46118.0</v>
      </c>
      <c r="B150" s="9">
        <v>0.7708333333333334</v>
      </c>
      <c r="C150" s="15" t="s">
        <v>33</v>
      </c>
      <c r="D150" s="31" t="s">
        <v>16</v>
      </c>
      <c r="E150" s="36">
        <f>Dados!$I184</f>
        <v>42</v>
      </c>
      <c r="F150" s="36" t="str">
        <f>Dados!$J184</f>
        <v>Moderado</v>
      </c>
    </row>
    <row r="151">
      <c r="A151" s="8">
        <v>46118.0</v>
      </c>
      <c r="B151" s="9">
        <v>0.7708333333333334</v>
      </c>
      <c r="C151" s="12"/>
      <c r="D151" s="31" t="s">
        <v>20</v>
      </c>
      <c r="E151" s="36">
        <f>Dados!$I185</f>
        <v>37</v>
      </c>
      <c r="F151" s="36" t="str">
        <f>Dados!$J185</f>
        <v>Leve</v>
      </c>
    </row>
    <row r="152">
      <c r="A152" s="8">
        <v>46117.0</v>
      </c>
      <c r="B152" s="9">
        <v>0.3125</v>
      </c>
      <c r="C152" s="6" t="s">
        <v>15</v>
      </c>
      <c r="D152" s="31" t="s">
        <v>16</v>
      </c>
      <c r="E152" s="36">
        <f>Dados!$I189</f>
        <v>28</v>
      </c>
      <c r="F152" s="36" t="str">
        <f>Dados!$J189</f>
        <v>Leve</v>
      </c>
    </row>
    <row r="153">
      <c r="A153" s="8">
        <v>46117.0</v>
      </c>
      <c r="B153" s="9">
        <v>0.3125</v>
      </c>
      <c r="C153" s="12"/>
      <c r="D153" s="31" t="s">
        <v>20</v>
      </c>
      <c r="E153" s="36">
        <f>Dados!$I190</f>
        <v>32</v>
      </c>
      <c r="F153" s="36" t="str">
        <f>Dados!$J190</f>
        <v>Leve</v>
      </c>
    </row>
    <row r="154">
      <c r="A154" s="8">
        <v>46117.0</v>
      </c>
      <c r="B154" s="9">
        <v>0.3125</v>
      </c>
      <c r="C154" s="6" t="s">
        <v>25</v>
      </c>
      <c r="D154" s="31" t="s">
        <v>16</v>
      </c>
      <c r="E154" s="36">
        <f>Dados!$I191</f>
        <v>21</v>
      </c>
      <c r="F154" s="36" t="str">
        <f>Dados!$J191</f>
        <v>Leve</v>
      </c>
    </row>
    <row r="155">
      <c r="A155" s="8">
        <v>46117.0</v>
      </c>
      <c r="B155" s="9">
        <v>0.3125</v>
      </c>
      <c r="C155" s="12"/>
      <c r="D155" s="31" t="s">
        <v>20</v>
      </c>
      <c r="E155" s="36">
        <f>Dados!$I192</f>
        <v>29</v>
      </c>
      <c r="F155" s="36" t="str">
        <f>Dados!$J192</f>
        <v>Leve</v>
      </c>
    </row>
    <row r="156">
      <c r="A156" s="8">
        <v>46117.0</v>
      </c>
      <c r="B156" s="9">
        <v>0.3125</v>
      </c>
      <c r="C156" s="6" t="s">
        <v>27</v>
      </c>
      <c r="D156" s="31" t="s">
        <v>16</v>
      </c>
      <c r="E156" s="36">
        <f>Dados!$I193</f>
        <v>21</v>
      </c>
      <c r="F156" s="36" t="str">
        <f>Dados!$J193</f>
        <v>Leve</v>
      </c>
    </row>
    <row r="157">
      <c r="A157" s="8">
        <v>46117.0</v>
      </c>
      <c r="B157" s="9">
        <v>0.3125</v>
      </c>
      <c r="C157" s="12"/>
      <c r="D157" s="31" t="s">
        <v>20</v>
      </c>
      <c r="E157" s="36">
        <f>Dados!$I194</f>
        <v>28</v>
      </c>
      <c r="F157" s="36" t="str">
        <f>Dados!$J194</f>
        <v>Leve</v>
      </c>
    </row>
    <row r="158">
      <c r="A158" s="8">
        <v>46117.0</v>
      </c>
      <c r="B158" s="9">
        <v>0.3125</v>
      </c>
      <c r="C158" s="6" t="s">
        <v>31</v>
      </c>
      <c r="D158" s="31" t="s">
        <v>16</v>
      </c>
      <c r="E158" s="36">
        <f>Dados!$I195</f>
        <v>27</v>
      </c>
      <c r="F158" s="36" t="str">
        <f>Dados!$J195</f>
        <v>Leve</v>
      </c>
    </row>
    <row r="159">
      <c r="A159" s="8">
        <v>46117.0</v>
      </c>
      <c r="B159" s="9">
        <v>0.3125</v>
      </c>
      <c r="C159" s="12"/>
      <c r="D159" s="31" t="s">
        <v>20</v>
      </c>
      <c r="E159" s="36">
        <f>Dados!$I196</f>
        <v>28</v>
      </c>
      <c r="F159" s="36" t="str">
        <f>Dados!$J196</f>
        <v>Leve</v>
      </c>
    </row>
    <row r="160">
      <c r="A160" s="8">
        <v>46117.0</v>
      </c>
      <c r="B160" s="9">
        <v>0.3125</v>
      </c>
      <c r="C160" s="15" t="s">
        <v>33</v>
      </c>
      <c r="D160" s="31" t="s">
        <v>16</v>
      </c>
      <c r="E160" s="36">
        <f>Dados!$I197</f>
        <v>31</v>
      </c>
      <c r="F160" s="36" t="str">
        <f>Dados!$J197</f>
        <v>Leve</v>
      </c>
    </row>
    <row r="161">
      <c r="A161" s="8">
        <v>46117.0</v>
      </c>
      <c r="B161" s="9">
        <v>0.3125</v>
      </c>
      <c r="C161" s="12"/>
      <c r="D161" s="31" t="s">
        <v>20</v>
      </c>
      <c r="E161" s="36">
        <f>Dados!$I198</f>
        <v>29</v>
      </c>
      <c r="F161" s="36" t="str">
        <f>Dados!$J198</f>
        <v>Leve</v>
      </c>
    </row>
    <row r="162">
      <c r="A162" s="8">
        <v>46117.0</v>
      </c>
      <c r="B162" s="9">
        <v>0.5208333333333334</v>
      </c>
      <c r="C162" s="6" t="s">
        <v>15</v>
      </c>
      <c r="D162" s="31" t="s">
        <v>16</v>
      </c>
      <c r="E162" s="36">
        <f>Dados!$I201</f>
        <v>28</v>
      </c>
      <c r="F162" s="36" t="str">
        <f>Dados!$J201</f>
        <v>Leve</v>
      </c>
    </row>
    <row r="163">
      <c r="A163" s="8">
        <v>46117.0</v>
      </c>
      <c r="B163" s="9">
        <v>0.5208333333333334</v>
      </c>
      <c r="C163" s="12"/>
      <c r="D163" s="31" t="s">
        <v>20</v>
      </c>
      <c r="E163" s="36">
        <f>Dados!$I202</f>
        <v>32</v>
      </c>
      <c r="F163" s="36" t="str">
        <f>Dados!$J202</f>
        <v>Leve</v>
      </c>
    </row>
    <row r="164">
      <c r="A164" s="8">
        <v>46117.0</v>
      </c>
      <c r="B164" s="9">
        <v>0.5208333333333334</v>
      </c>
      <c r="C164" s="6" t="s">
        <v>25</v>
      </c>
      <c r="D164" s="31" t="s">
        <v>16</v>
      </c>
      <c r="E164" s="36">
        <f>Dados!$I203</f>
        <v>21</v>
      </c>
      <c r="F164" s="36" t="str">
        <f>Dados!$J203</f>
        <v>Leve</v>
      </c>
    </row>
    <row r="165">
      <c r="A165" s="8">
        <v>46117.0</v>
      </c>
      <c r="B165" s="9">
        <v>0.5208333333333334</v>
      </c>
      <c r="C165" s="12"/>
      <c r="D165" s="31" t="s">
        <v>20</v>
      </c>
      <c r="E165" s="36">
        <f>Dados!$I204</f>
        <v>29</v>
      </c>
      <c r="F165" s="36" t="str">
        <f>Dados!$J204</f>
        <v>Leve</v>
      </c>
    </row>
    <row r="166">
      <c r="A166" s="8">
        <v>46117.0</v>
      </c>
      <c r="B166" s="9">
        <v>0.5208333333333334</v>
      </c>
      <c r="C166" s="6" t="s">
        <v>27</v>
      </c>
      <c r="D166" s="31" t="s">
        <v>16</v>
      </c>
      <c r="E166" s="36">
        <f>Dados!$I205</f>
        <v>21</v>
      </c>
      <c r="F166" s="36" t="str">
        <f>Dados!$J205</f>
        <v>Leve</v>
      </c>
    </row>
    <row r="167">
      <c r="A167" s="8">
        <v>46117.0</v>
      </c>
      <c r="B167" s="9">
        <v>0.5208333333333334</v>
      </c>
      <c r="C167" s="12"/>
      <c r="D167" s="31" t="s">
        <v>20</v>
      </c>
      <c r="E167" s="36">
        <f>Dados!$I206</f>
        <v>28</v>
      </c>
      <c r="F167" s="36" t="str">
        <f>Dados!$J206</f>
        <v>Leve</v>
      </c>
    </row>
    <row r="168">
      <c r="A168" s="8">
        <v>46117.0</v>
      </c>
      <c r="B168" s="9">
        <v>0.5208333333333334</v>
      </c>
      <c r="C168" s="6" t="s">
        <v>31</v>
      </c>
      <c r="D168" s="31" t="s">
        <v>16</v>
      </c>
      <c r="E168" s="36">
        <f>Dados!$I207</f>
        <v>27</v>
      </c>
      <c r="F168" s="36" t="str">
        <f>Dados!$J207</f>
        <v>Leve</v>
      </c>
    </row>
    <row r="169">
      <c r="A169" s="8">
        <v>46117.0</v>
      </c>
      <c r="B169" s="9">
        <v>0.5208333333333334</v>
      </c>
      <c r="C169" s="12"/>
      <c r="D169" s="31" t="s">
        <v>20</v>
      </c>
      <c r="E169" s="36">
        <f>Dados!$I208</f>
        <v>29</v>
      </c>
      <c r="F169" s="36" t="str">
        <f>Dados!$J208</f>
        <v>Leve</v>
      </c>
    </row>
    <row r="170">
      <c r="A170" s="8">
        <v>46117.0</v>
      </c>
      <c r="B170" s="9">
        <v>0.5208333333333334</v>
      </c>
      <c r="C170" s="15" t="s">
        <v>33</v>
      </c>
      <c r="D170" s="31" t="s">
        <v>16</v>
      </c>
      <c r="E170" s="36">
        <f>Dados!$I209</f>
        <v>31</v>
      </c>
      <c r="F170" s="36" t="str">
        <f>Dados!$J209</f>
        <v>Leve</v>
      </c>
    </row>
    <row r="171">
      <c r="A171" s="8">
        <v>46117.0</v>
      </c>
      <c r="B171" s="9">
        <v>0.5208333333333334</v>
      </c>
      <c r="C171" s="12"/>
      <c r="D171" s="31" t="s">
        <v>20</v>
      </c>
      <c r="E171" s="36">
        <f>Dados!$I210</f>
        <v>30</v>
      </c>
      <c r="F171" s="36" t="str">
        <f>Dados!$J210</f>
        <v>Leve</v>
      </c>
    </row>
    <row r="172">
      <c r="A172" s="8">
        <v>46117.0</v>
      </c>
      <c r="B172" s="9">
        <v>0.7708333333333334</v>
      </c>
      <c r="C172" s="6" t="s">
        <v>15</v>
      </c>
      <c r="D172" s="31" t="s">
        <v>16</v>
      </c>
      <c r="E172" s="36">
        <f>Dados!$I213</f>
        <v>30</v>
      </c>
      <c r="F172" s="36" t="str">
        <f>Dados!$J213</f>
        <v>Leve</v>
      </c>
    </row>
    <row r="173">
      <c r="A173" s="8">
        <v>46117.0</v>
      </c>
      <c r="B173" s="9">
        <v>0.7708333333333334</v>
      </c>
      <c r="C173" s="12"/>
      <c r="D173" s="31" t="s">
        <v>20</v>
      </c>
      <c r="E173" s="36">
        <f>Dados!$I214</f>
        <v>32</v>
      </c>
      <c r="F173" s="36" t="str">
        <f>Dados!$J214</f>
        <v>Leve</v>
      </c>
    </row>
    <row r="174">
      <c r="A174" s="8">
        <v>46117.0</v>
      </c>
      <c r="B174" s="9">
        <v>0.7708333333333334</v>
      </c>
      <c r="C174" s="6" t="s">
        <v>25</v>
      </c>
      <c r="D174" s="31" t="s">
        <v>16</v>
      </c>
      <c r="E174" s="36">
        <f>Dados!$I215</f>
        <v>23</v>
      </c>
      <c r="F174" s="36" t="str">
        <f>Dados!$J215</f>
        <v>Leve</v>
      </c>
    </row>
    <row r="175">
      <c r="A175" s="8">
        <v>46117.0</v>
      </c>
      <c r="B175" s="9">
        <v>0.7708333333333334</v>
      </c>
      <c r="C175" s="12"/>
      <c r="D175" s="31" t="s">
        <v>20</v>
      </c>
      <c r="E175" s="36">
        <f>Dados!$I216</f>
        <v>31</v>
      </c>
      <c r="F175" s="36" t="str">
        <f>Dados!$J216</f>
        <v>Moderado</v>
      </c>
    </row>
    <row r="176">
      <c r="A176" s="8">
        <v>46117.0</v>
      </c>
      <c r="B176" s="9">
        <v>0.7708333333333334</v>
      </c>
      <c r="C176" s="6" t="s">
        <v>27</v>
      </c>
      <c r="D176" s="31" t="s">
        <v>16</v>
      </c>
      <c r="E176" s="36">
        <f>Dados!$I217</f>
        <v>21</v>
      </c>
      <c r="F176" s="36" t="str">
        <f>Dados!$J217</f>
        <v>Leve</v>
      </c>
    </row>
    <row r="177">
      <c r="A177" s="8">
        <v>46117.0</v>
      </c>
      <c r="B177" s="9">
        <v>0.7708333333333334</v>
      </c>
      <c r="C177" s="12"/>
      <c r="D177" s="31" t="s">
        <v>20</v>
      </c>
      <c r="E177" s="36">
        <f>Dados!$I218</f>
        <v>30</v>
      </c>
      <c r="F177" s="36" t="str">
        <f>Dados!$J218</f>
        <v>Moderado</v>
      </c>
    </row>
    <row r="178">
      <c r="A178" s="8">
        <v>46117.0</v>
      </c>
      <c r="B178" s="9">
        <v>0.7708333333333334</v>
      </c>
      <c r="C178" s="6" t="s">
        <v>31</v>
      </c>
      <c r="D178" s="31" t="s">
        <v>16</v>
      </c>
      <c r="E178" s="36">
        <f>Dados!$I219</f>
        <v>29</v>
      </c>
      <c r="F178" s="36" t="str">
        <f>Dados!$J219</f>
        <v>Leve</v>
      </c>
    </row>
    <row r="179">
      <c r="A179" s="8">
        <v>46117.0</v>
      </c>
      <c r="B179" s="9">
        <v>0.7708333333333334</v>
      </c>
      <c r="C179" s="12"/>
      <c r="D179" s="31" t="s">
        <v>20</v>
      </c>
      <c r="E179" s="36">
        <f>Dados!$I220</f>
        <v>32</v>
      </c>
      <c r="F179" s="36" t="str">
        <f>Dados!$J220</f>
        <v>Moderado</v>
      </c>
    </row>
    <row r="180">
      <c r="A180" s="8">
        <v>46117.0</v>
      </c>
      <c r="B180" s="9">
        <v>0.7708333333333334</v>
      </c>
      <c r="C180" s="15" t="s">
        <v>33</v>
      </c>
      <c r="D180" s="31" t="s">
        <v>16</v>
      </c>
      <c r="E180" s="36">
        <f>Dados!$I221</f>
        <v>36</v>
      </c>
      <c r="F180" s="36" t="str">
        <f>Dados!$J221</f>
        <v>Leve</v>
      </c>
    </row>
    <row r="181">
      <c r="A181" s="8">
        <v>46117.0</v>
      </c>
      <c r="B181" s="9">
        <v>0.7708333333333334</v>
      </c>
      <c r="C181" s="12"/>
      <c r="D181" s="31" t="s">
        <v>20</v>
      </c>
      <c r="E181" s="36">
        <f>Dados!$I222</f>
        <v>32</v>
      </c>
      <c r="F181" s="36" t="str">
        <f>Dados!$J222</f>
        <v>Leve</v>
      </c>
    </row>
    <row r="182">
      <c r="A182" s="8">
        <v>46116.0</v>
      </c>
      <c r="B182" s="9">
        <v>0.3125</v>
      </c>
      <c r="C182" s="6" t="s">
        <v>15</v>
      </c>
      <c r="D182" s="31" t="s">
        <v>16</v>
      </c>
      <c r="E182" s="36">
        <f>Dados!$I226</f>
        <v>28</v>
      </c>
      <c r="F182" s="36" t="str">
        <f>Dados!$J226</f>
        <v>Leve</v>
      </c>
    </row>
    <row r="183">
      <c r="A183" s="8">
        <v>46116.0</v>
      </c>
      <c r="B183" s="9">
        <v>0.3125</v>
      </c>
      <c r="C183" s="12"/>
      <c r="D183" s="31" t="s">
        <v>20</v>
      </c>
      <c r="E183" s="36">
        <f>Dados!$I227</f>
        <v>34</v>
      </c>
      <c r="F183" s="36" t="str">
        <f>Dados!$J227</f>
        <v>Leve</v>
      </c>
    </row>
    <row r="184">
      <c r="A184" s="8">
        <v>46116.0</v>
      </c>
      <c r="B184" s="9">
        <v>0.3125</v>
      </c>
      <c r="C184" s="6" t="s">
        <v>25</v>
      </c>
      <c r="D184" s="31" t="s">
        <v>16</v>
      </c>
      <c r="E184" s="36">
        <f>Dados!$I228</f>
        <v>23</v>
      </c>
      <c r="F184" s="36" t="str">
        <f>Dados!$J228</f>
        <v>Leve</v>
      </c>
    </row>
    <row r="185">
      <c r="A185" s="8">
        <v>46116.0</v>
      </c>
      <c r="B185" s="9">
        <v>0.3125</v>
      </c>
      <c r="C185" s="12"/>
      <c r="D185" s="31" t="s">
        <v>20</v>
      </c>
      <c r="E185" s="36">
        <f>Dados!$I229</f>
        <v>31</v>
      </c>
      <c r="F185" s="36" t="str">
        <f>Dados!$J229</f>
        <v>Leve</v>
      </c>
    </row>
    <row r="186">
      <c r="A186" s="8">
        <v>46116.0</v>
      </c>
      <c r="B186" s="9">
        <v>0.3125</v>
      </c>
      <c r="C186" s="6" t="s">
        <v>27</v>
      </c>
      <c r="D186" s="31" t="s">
        <v>16</v>
      </c>
      <c r="E186" s="36">
        <f>Dados!$I230</f>
        <v>21</v>
      </c>
      <c r="F186" s="36" t="str">
        <f>Dados!$J230</f>
        <v>Leve</v>
      </c>
    </row>
    <row r="187">
      <c r="A187" s="8">
        <v>46116.0</v>
      </c>
      <c r="B187" s="9">
        <v>0.3125</v>
      </c>
      <c r="C187" s="12"/>
      <c r="D187" s="31" t="s">
        <v>20</v>
      </c>
      <c r="E187" s="36">
        <f>Dados!$I231</f>
        <v>30</v>
      </c>
      <c r="F187" s="36" t="str">
        <f>Dados!$J231</f>
        <v>Moderado</v>
      </c>
    </row>
    <row r="188">
      <c r="A188" s="8">
        <v>46116.0</v>
      </c>
      <c r="B188" s="9">
        <v>0.3125</v>
      </c>
      <c r="C188" s="6" t="s">
        <v>31</v>
      </c>
      <c r="D188" s="31" t="s">
        <v>16</v>
      </c>
      <c r="E188" s="36">
        <f>Dados!$I232</f>
        <v>27</v>
      </c>
      <c r="F188" s="36" t="str">
        <f>Dados!$J232</f>
        <v>Leve</v>
      </c>
    </row>
    <row r="189">
      <c r="A189" s="8">
        <v>46116.0</v>
      </c>
      <c r="B189" s="9">
        <v>0.3125</v>
      </c>
      <c r="C189" s="12"/>
      <c r="D189" s="31" t="s">
        <v>20</v>
      </c>
      <c r="E189" s="36">
        <f>Dados!$I233</f>
        <v>31</v>
      </c>
      <c r="F189" s="36" t="str">
        <f>Dados!$J233</f>
        <v>Leve</v>
      </c>
    </row>
    <row r="190">
      <c r="A190" s="8">
        <v>46116.0</v>
      </c>
      <c r="B190" s="9">
        <v>0.3125</v>
      </c>
      <c r="C190" s="15" t="s">
        <v>33</v>
      </c>
      <c r="D190" s="31" t="s">
        <v>16</v>
      </c>
      <c r="E190" s="36">
        <f>Dados!$I234</f>
        <v>36</v>
      </c>
      <c r="F190" s="36" t="str">
        <f>Dados!$J234</f>
        <v>Moderado</v>
      </c>
    </row>
    <row r="191">
      <c r="A191" s="8">
        <v>46116.0</v>
      </c>
      <c r="B191" s="9">
        <v>0.3125</v>
      </c>
      <c r="C191" s="12"/>
      <c r="D191" s="31" t="s">
        <v>20</v>
      </c>
      <c r="E191" s="36">
        <f>Dados!$I235</f>
        <v>30</v>
      </c>
      <c r="F191" s="36" t="str">
        <f>Dados!$J235</f>
        <v>Leve</v>
      </c>
    </row>
    <row r="192">
      <c r="A192" s="8">
        <v>46116.0</v>
      </c>
      <c r="B192" s="9">
        <v>0.5208333333333334</v>
      </c>
      <c r="C192" s="6" t="s">
        <v>15</v>
      </c>
      <c r="D192" s="31" t="s">
        <v>16</v>
      </c>
      <c r="E192" s="36">
        <f>Dados!$I238</f>
        <v>30</v>
      </c>
      <c r="F192" s="36" t="str">
        <f>Dados!$J238</f>
        <v>Leve</v>
      </c>
    </row>
    <row r="193">
      <c r="A193" s="8">
        <v>46116.0</v>
      </c>
      <c r="B193" s="9">
        <v>0.5208333333333334</v>
      </c>
      <c r="C193" s="12"/>
      <c r="D193" s="31" t="s">
        <v>20</v>
      </c>
      <c r="E193" s="36">
        <f>Dados!$I239</f>
        <v>36</v>
      </c>
      <c r="F193" s="36" t="str">
        <f>Dados!$J239</f>
        <v>Moderado</v>
      </c>
    </row>
    <row r="194">
      <c r="A194" s="8">
        <v>46116.0</v>
      </c>
      <c r="B194" s="9">
        <v>0.5208333333333334</v>
      </c>
      <c r="C194" s="6" t="s">
        <v>25</v>
      </c>
      <c r="D194" s="31" t="s">
        <v>16</v>
      </c>
      <c r="E194" s="36">
        <f>Dados!$I240</f>
        <v>21</v>
      </c>
      <c r="F194" s="36" t="str">
        <f>Dados!$J240</f>
        <v>Leve</v>
      </c>
    </row>
    <row r="195">
      <c r="A195" s="8">
        <v>46116.0</v>
      </c>
      <c r="B195" s="9">
        <v>0.5208333333333334</v>
      </c>
      <c r="C195" s="12"/>
      <c r="D195" s="31" t="s">
        <v>20</v>
      </c>
      <c r="E195" s="36">
        <f>Dados!$I241</f>
        <v>37</v>
      </c>
      <c r="F195" s="36" t="str">
        <f>Dados!$J241</f>
        <v>Moderado</v>
      </c>
    </row>
    <row r="196">
      <c r="A196" s="8">
        <v>46116.0</v>
      </c>
      <c r="B196" s="9">
        <v>0.5208333333333334</v>
      </c>
      <c r="C196" s="6" t="s">
        <v>27</v>
      </c>
      <c r="D196" s="31" t="s">
        <v>16</v>
      </c>
      <c r="E196" s="36">
        <f>Dados!$I242</f>
        <v>25</v>
      </c>
      <c r="F196" s="36" t="str">
        <f>Dados!$J242</f>
        <v>Leve</v>
      </c>
    </row>
    <row r="197">
      <c r="A197" s="8">
        <v>46116.0</v>
      </c>
      <c r="B197" s="9">
        <v>0.5208333333333334</v>
      </c>
      <c r="C197" s="12"/>
      <c r="D197" s="31" t="s">
        <v>20</v>
      </c>
      <c r="E197" s="36">
        <f>Dados!$I243</f>
        <v>38</v>
      </c>
      <c r="F197" s="36" t="str">
        <f>Dados!$J243</f>
        <v>Intenso</v>
      </c>
    </row>
    <row r="198">
      <c r="A198" s="8">
        <v>46116.0</v>
      </c>
      <c r="B198" s="9">
        <v>0.5208333333333334</v>
      </c>
      <c r="C198" s="6" t="s">
        <v>31</v>
      </c>
      <c r="D198" s="31" t="s">
        <v>16</v>
      </c>
      <c r="E198" s="36">
        <f>Dados!$I244</f>
        <v>29</v>
      </c>
      <c r="F198" s="36" t="str">
        <f>Dados!$J244</f>
        <v>Leve</v>
      </c>
    </row>
    <row r="199">
      <c r="A199" s="8">
        <v>46116.0</v>
      </c>
      <c r="B199" s="9">
        <v>0.5208333333333334</v>
      </c>
      <c r="C199" s="12"/>
      <c r="D199" s="31" t="s">
        <v>20</v>
      </c>
      <c r="E199" s="36">
        <f>Dados!$I245</f>
        <v>32</v>
      </c>
      <c r="F199" s="36" t="str">
        <f>Dados!$J245</f>
        <v>Moderado</v>
      </c>
    </row>
    <row r="200">
      <c r="A200" s="8">
        <v>46116.0</v>
      </c>
      <c r="B200" s="9">
        <v>0.5208333333333334</v>
      </c>
      <c r="C200" s="15" t="s">
        <v>33</v>
      </c>
      <c r="D200" s="31" t="s">
        <v>16</v>
      </c>
      <c r="E200" s="36">
        <f>Dados!$I246</f>
        <v>38</v>
      </c>
      <c r="F200" s="36" t="str">
        <f>Dados!$J246</f>
        <v>Moderado</v>
      </c>
    </row>
    <row r="201">
      <c r="A201" s="8">
        <v>46116.0</v>
      </c>
      <c r="B201" s="9">
        <v>0.5208333333333334</v>
      </c>
      <c r="C201" s="12"/>
      <c r="D201" s="31" t="s">
        <v>20</v>
      </c>
      <c r="E201" s="36">
        <f>Dados!$I247</f>
        <v>32</v>
      </c>
      <c r="F201" s="36" t="str">
        <f>Dados!$J247</f>
        <v>Leve</v>
      </c>
    </row>
    <row r="202">
      <c r="A202" s="8">
        <v>46116.0</v>
      </c>
      <c r="B202" s="9">
        <v>0.7708333333333334</v>
      </c>
      <c r="C202" s="6" t="s">
        <v>15</v>
      </c>
      <c r="D202" s="31" t="s">
        <v>16</v>
      </c>
      <c r="E202" s="36">
        <f>Dados!$I250</f>
        <v>30</v>
      </c>
      <c r="F202" s="36" t="str">
        <f>Dados!$J250</f>
        <v>Leve</v>
      </c>
    </row>
    <row r="203">
      <c r="A203" s="8">
        <v>46116.0</v>
      </c>
      <c r="B203" s="9">
        <v>0.7708333333333334</v>
      </c>
      <c r="C203" s="12"/>
      <c r="D203" s="31" t="s">
        <v>20</v>
      </c>
      <c r="E203" s="36">
        <f>Dados!$I251</f>
        <v>32</v>
      </c>
      <c r="F203" s="36" t="str">
        <f>Dados!$J251</f>
        <v>Leve</v>
      </c>
    </row>
    <row r="204">
      <c r="A204" s="8">
        <v>46116.0</v>
      </c>
      <c r="B204" s="9">
        <v>0.7708333333333334</v>
      </c>
      <c r="C204" s="6" t="s">
        <v>25</v>
      </c>
      <c r="D204" s="31" t="s">
        <v>16</v>
      </c>
      <c r="E204" s="36">
        <f>Dados!$I252</f>
        <v>23</v>
      </c>
      <c r="F204" s="36" t="str">
        <f>Dados!$J252</f>
        <v>Leve</v>
      </c>
    </row>
    <row r="205">
      <c r="A205" s="8">
        <v>46116.0</v>
      </c>
      <c r="B205" s="9">
        <v>0.7708333333333334</v>
      </c>
      <c r="C205" s="12"/>
      <c r="D205" s="31" t="s">
        <v>20</v>
      </c>
      <c r="E205" s="36">
        <f>Dados!$I253</f>
        <v>33</v>
      </c>
      <c r="F205" s="36" t="str">
        <f>Dados!$J253</f>
        <v>Moderado</v>
      </c>
    </row>
    <row r="206">
      <c r="A206" s="8">
        <v>46116.0</v>
      </c>
      <c r="B206" s="9">
        <v>0.7708333333333334</v>
      </c>
      <c r="C206" s="6" t="s">
        <v>27</v>
      </c>
      <c r="D206" s="31" t="s">
        <v>16</v>
      </c>
      <c r="E206" s="36">
        <f>Dados!$I254</f>
        <v>23</v>
      </c>
      <c r="F206" s="36" t="str">
        <f>Dados!$J254</f>
        <v>Leve</v>
      </c>
    </row>
    <row r="207">
      <c r="A207" s="8">
        <v>46116.0</v>
      </c>
      <c r="B207" s="9">
        <v>0.7708333333333334</v>
      </c>
      <c r="C207" s="12"/>
      <c r="D207" s="31" t="s">
        <v>20</v>
      </c>
      <c r="E207" s="36">
        <f>Dados!$I255</f>
        <v>32</v>
      </c>
      <c r="F207" s="36" t="str">
        <f>Dados!$J255</f>
        <v>Moderado</v>
      </c>
    </row>
    <row r="208">
      <c r="A208" s="8">
        <v>46116.0</v>
      </c>
      <c r="B208" s="9">
        <v>0.7708333333333334</v>
      </c>
      <c r="C208" s="6" t="s">
        <v>31</v>
      </c>
      <c r="D208" s="31" t="s">
        <v>16</v>
      </c>
      <c r="E208" s="36">
        <f>Dados!$I256</f>
        <v>31</v>
      </c>
      <c r="F208" s="36" t="str">
        <f>Dados!$J256</f>
        <v>Leve</v>
      </c>
    </row>
    <row r="209">
      <c r="A209" s="8">
        <v>46116.0</v>
      </c>
      <c r="B209" s="9">
        <v>0.7708333333333334</v>
      </c>
      <c r="C209" s="12"/>
      <c r="D209" s="31" t="s">
        <v>20</v>
      </c>
      <c r="E209" s="36">
        <f>Dados!$I257</f>
        <v>34</v>
      </c>
      <c r="F209" s="36" t="str">
        <f>Dados!$J257</f>
        <v>Moderado</v>
      </c>
    </row>
    <row r="210">
      <c r="A210" s="8">
        <v>46116.0</v>
      </c>
      <c r="B210" s="9">
        <v>0.7708333333333334</v>
      </c>
      <c r="C210" s="15" t="s">
        <v>33</v>
      </c>
      <c r="D210" s="31" t="s">
        <v>16</v>
      </c>
      <c r="E210" s="36">
        <f>Dados!$I258</f>
        <v>38</v>
      </c>
      <c r="F210" s="36" t="str">
        <f>Dados!$J258</f>
        <v>Moderado</v>
      </c>
    </row>
    <row r="211">
      <c r="A211" s="8">
        <v>46116.0</v>
      </c>
      <c r="B211" s="9">
        <v>0.7708333333333334</v>
      </c>
      <c r="C211" s="12"/>
      <c r="D211" s="31" t="s">
        <v>20</v>
      </c>
      <c r="E211" s="36">
        <f>Dados!$I259</f>
        <v>34</v>
      </c>
      <c r="F211" s="36" t="str">
        <f>Dados!$J259</f>
        <v>Leve</v>
      </c>
    </row>
    <row r="212">
      <c r="A212" s="8">
        <v>46115.0</v>
      </c>
      <c r="B212" s="9">
        <v>0.3125</v>
      </c>
      <c r="C212" s="6" t="s">
        <v>15</v>
      </c>
      <c r="D212" s="31" t="s">
        <v>16</v>
      </c>
      <c r="E212" s="36">
        <f>Dados!$I263</f>
        <v>28</v>
      </c>
      <c r="F212" s="36" t="str">
        <f>Dados!$J263</f>
        <v>Leve</v>
      </c>
    </row>
    <row r="213">
      <c r="A213" s="8">
        <v>46115.0</v>
      </c>
      <c r="B213" s="9">
        <v>0.3125</v>
      </c>
      <c r="C213" s="12"/>
      <c r="D213" s="31" t="s">
        <v>20</v>
      </c>
      <c r="E213" s="36">
        <f>Dados!$I264</f>
        <v>32</v>
      </c>
      <c r="F213" s="36" t="str">
        <f>Dados!$J264</f>
        <v>Leve</v>
      </c>
    </row>
    <row r="214">
      <c r="A214" s="8">
        <v>46115.0</v>
      </c>
      <c r="B214" s="9">
        <v>0.3125</v>
      </c>
      <c r="C214" s="6" t="s">
        <v>25</v>
      </c>
      <c r="D214" s="31" t="s">
        <v>16</v>
      </c>
      <c r="E214" s="36">
        <f>Dados!$I265</f>
        <v>21</v>
      </c>
      <c r="F214" s="36" t="str">
        <f>Dados!$J265</f>
        <v>Leve</v>
      </c>
    </row>
    <row r="215">
      <c r="A215" s="8">
        <v>46115.0</v>
      </c>
      <c r="B215" s="9">
        <v>0.3125</v>
      </c>
      <c r="C215" s="12"/>
      <c r="D215" s="31" t="s">
        <v>20</v>
      </c>
      <c r="E215" s="36">
        <f>Dados!$I266</f>
        <v>29</v>
      </c>
      <c r="F215" s="36" t="str">
        <f>Dados!$J266</f>
        <v>Leve</v>
      </c>
    </row>
    <row r="216">
      <c r="A216" s="8">
        <v>46115.0</v>
      </c>
      <c r="B216" s="9">
        <v>0.3125</v>
      </c>
      <c r="C216" s="6" t="s">
        <v>27</v>
      </c>
      <c r="D216" s="31" t="s">
        <v>16</v>
      </c>
      <c r="E216" s="36">
        <f>Dados!$I267</f>
        <v>21</v>
      </c>
      <c r="F216" s="36" t="str">
        <f>Dados!$J267</f>
        <v>Leve</v>
      </c>
    </row>
    <row r="217">
      <c r="A217" s="8">
        <v>46115.0</v>
      </c>
      <c r="B217" s="9">
        <v>0.3125</v>
      </c>
      <c r="C217" s="12"/>
      <c r="D217" s="31" t="s">
        <v>20</v>
      </c>
      <c r="E217" s="36">
        <f>Dados!$I268</f>
        <v>28</v>
      </c>
      <c r="F217" s="36" t="str">
        <f>Dados!$J268</f>
        <v>Leve</v>
      </c>
    </row>
    <row r="218">
      <c r="A218" s="8">
        <v>46115.0</v>
      </c>
      <c r="B218" s="9">
        <v>0.3125</v>
      </c>
      <c r="C218" s="6" t="s">
        <v>31</v>
      </c>
      <c r="D218" s="31" t="s">
        <v>16</v>
      </c>
      <c r="E218" s="36">
        <f>Dados!$I269</f>
        <v>27</v>
      </c>
      <c r="F218" s="36" t="str">
        <f>Dados!$J269</f>
        <v>Leve</v>
      </c>
    </row>
    <row r="219">
      <c r="A219" s="8">
        <v>46115.0</v>
      </c>
      <c r="B219" s="9">
        <v>0.3125</v>
      </c>
      <c r="C219" s="12"/>
      <c r="D219" s="31" t="s">
        <v>20</v>
      </c>
      <c r="E219" s="36">
        <f>Dados!$I270</f>
        <v>28</v>
      </c>
      <c r="F219" s="36" t="str">
        <f>Dados!$J270</f>
        <v>Leve</v>
      </c>
    </row>
    <row r="220">
      <c r="A220" s="8">
        <v>46115.0</v>
      </c>
      <c r="B220" s="9">
        <v>0.3125</v>
      </c>
      <c r="C220" s="15" t="s">
        <v>33</v>
      </c>
      <c r="D220" s="31" t="s">
        <v>16</v>
      </c>
      <c r="E220" s="36">
        <f>Dados!$I271</f>
        <v>31</v>
      </c>
      <c r="F220" s="36" t="str">
        <f>Dados!$J271</f>
        <v>Leve</v>
      </c>
    </row>
    <row r="221">
      <c r="A221" s="8">
        <v>46115.0</v>
      </c>
      <c r="B221" s="9">
        <v>0.3125</v>
      </c>
      <c r="C221" s="12"/>
      <c r="D221" s="31" t="s">
        <v>20</v>
      </c>
      <c r="E221" s="36">
        <f>Dados!$I272</f>
        <v>29</v>
      </c>
      <c r="F221" s="36" t="str">
        <f>Dados!$J272</f>
        <v>Leve</v>
      </c>
    </row>
    <row r="222">
      <c r="A222" s="8">
        <v>46115.0</v>
      </c>
      <c r="B222" s="9">
        <v>0.5208333333333334</v>
      </c>
      <c r="C222" s="6" t="s">
        <v>15</v>
      </c>
      <c r="D222" s="31" t="s">
        <v>16</v>
      </c>
      <c r="E222" s="36">
        <f>Dados!$I275</f>
        <v>28</v>
      </c>
      <c r="F222" s="36" t="str">
        <f>Dados!$J275</f>
        <v>Leve</v>
      </c>
    </row>
    <row r="223">
      <c r="A223" s="8">
        <v>46115.0</v>
      </c>
      <c r="B223" s="9">
        <v>0.5208333333333334</v>
      </c>
      <c r="C223" s="12"/>
      <c r="D223" s="31" t="s">
        <v>20</v>
      </c>
      <c r="E223" s="36">
        <f>Dados!$I276</f>
        <v>32</v>
      </c>
      <c r="F223" s="36" t="str">
        <f>Dados!$J276</f>
        <v>Leve</v>
      </c>
    </row>
    <row r="224">
      <c r="A224" s="8">
        <v>46115.0</v>
      </c>
      <c r="B224" s="9">
        <v>0.5208333333333334</v>
      </c>
      <c r="C224" s="6" t="s">
        <v>25</v>
      </c>
      <c r="D224" s="31" t="s">
        <v>16</v>
      </c>
      <c r="E224" s="36">
        <f>Dados!$I277</f>
        <v>21</v>
      </c>
      <c r="F224" s="36" t="str">
        <f>Dados!$J277</f>
        <v>Leve</v>
      </c>
    </row>
    <row r="225">
      <c r="A225" s="8">
        <v>46115.0</v>
      </c>
      <c r="B225" s="9">
        <v>0.5208333333333334</v>
      </c>
      <c r="C225" s="12"/>
      <c r="D225" s="31" t="s">
        <v>20</v>
      </c>
      <c r="E225" s="36">
        <f>Dados!$I278</f>
        <v>29</v>
      </c>
      <c r="F225" s="36" t="str">
        <f>Dados!$J278</f>
        <v>Leve</v>
      </c>
    </row>
    <row r="226">
      <c r="A226" s="8">
        <v>46115.0</v>
      </c>
      <c r="B226" s="9">
        <v>0.5208333333333334</v>
      </c>
      <c r="C226" s="6" t="s">
        <v>27</v>
      </c>
      <c r="D226" s="31" t="s">
        <v>16</v>
      </c>
      <c r="E226" s="36">
        <f>Dados!$I279</f>
        <v>21</v>
      </c>
      <c r="F226" s="36" t="str">
        <f>Dados!$J279</f>
        <v>Leve</v>
      </c>
    </row>
    <row r="227">
      <c r="A227" s="8">
        <v>46115.0</v>
      </c>
      <c r="B227" s="9">
        <v>0.5208333333333334</v>
      </c>
      <c r="C227" s="12"/>
      <c r="D227" s="31" t="s">
        <v>20</v>
      </c>
      <c r="E227" s="36">
        <f>Dados!$I280</f>
        <v>28</v>
      </c>
      <c r="F227" s="36" t="str">
        <f>Dados!$J280</f>
        <v>Leve</v>
      </c>
    </row>
    <row r="228">
      <c r="A228" s="8">
        <v>46115.0</v>
      </c>
      <c r="B228" s="9">
        <v>0.5208333333333334</v>
      </c>
      <c r="C228" s="6" t="s">
        <v>31</v>
      </c>
      <c r="D228" s="31" t="s">
        <v>16</v>
      </c>
      <c r="E228" s="36">
        <f>Dados!$I281</f>
        <v>27</v>
      </c>
      <c r="F228" s="36" t="str">
        <f>Dados!$J281</f>
        <v>Leve</v>
      </c>
    </row>
    <row r="229">
      <c r="A229" s="8">
        <v>46115.0</v>
      </c>
      <c r="B229" s="9">
        <v>0.5208333333333334</v>
      </c>
      <c r="C229" s="12"/>
      <c r="D229" s="31" t="s">
        <v>20</v>
      </c>
      <c r="E229" s="36">
        <f>Dados!$I282</f>
        <v>29</v>
      </c>
      <c r="F229" s="36" t="str">
        <f>Dados!$J282</f>
        <v>Leve</v>
      </c>
    </row>
    <row r="230">
      <c r="A230" s="8">
        <v>46115.0</v>
      </c>
      <c r="B230" s="9">
        <v>0.5208333333333334</v>
      </c>
      <c r="C230" s="15" t="s">
        <v>33</v>
      </c>
      <c r="D230" s="31" t="s">
        <v>16</v>
      </c>
      <c r="E230" s="36">
        <f>Dados!$I283</f>
        <v>31</v>
      </c>
      <c r="F230" s="36" t="str">
        <f>Dados!$J283</f>
        <v>Leve</v>
      </c>
    </row>
    <row r="231">
      <c r="A231" s="8">
        <v>46115.0</v>
      </c>
      <c r="B231" s="9">
        <v>0.5208333333333334</v>
      </c>
      <c r="C231" s="12"/>
      <c r="D231" s="31" t="s">
        <v>20</v>
      </c>
      <c r="E231" s="36">
        <f>Dados!$I284</f>
        <v>30</v>
      </c>
      <c r="F231" s="36" t="str">
        <f>Dados!$J284</f>
        <v>Leve</v>
      </c>
    </row>
    <row r="232">
      <c r="A232" s="8">
        <v>46115.0</v>
      </c>
      <c r="B232" s="9">
        <v>0.7708333333333334</v>
      </c>
      <c r="C232" s="6" t="s">
        <v>15</v>
      </c>
      <c r="D232" s="31" t="s">
        <v>16</v>
      </c>
      <c r="E232" s="36">
        <f>Dados!$I287</f>
        <v>30</v>
      </c>
      <c r="F232" s="36" t="str">
        <f>Dados!$J287</f>
        <v>Leve</v>
      </c>
    </row>
    <row r="233">
      <c r="A233" s="8">
        <v>46115.0</v>
      </c>
      <c r="B233" s="9">
        <v>0.7708333333333334</v>
      </c>
      <c r="C233" s="12"/>
      <c r="D233" s="31" t="s">
        <v>20</v>
      </c>
      <c r="E233" s="36">
        <f>Dados!$I288</f>
        <v>32</v>
      </c>
      <c r="F233" s="36" t="str">
        <f>Dados!$J288</f>
        <v>Leve</v>
      </c>
    </row>
    <row r="234">
      <c r="A234" s="8">
        <v>46115.0</v>
      </c>
      <c r="B234" s="9">
        <v>0.7708333333333334</v>
      </c>
      <c r="C234" s="6" t="s">
        <v>25</v>
      </c>
      <c r="D234" s="31" t="s">
        <v>16</v>
      </c>
      <c r="E234" s="36">
        <f>Dados!$I289</f>
        <v>23</v>
      </c>
      <c r="F234" s="36" t="str">
        <f>Dados!$J289</f>
        <v>Leve</v>
      </c>
    </row>
    <row r="235">
      <c r="A235" s="8">
        <v>46115.0</v>
      </c>
      <c r="B235" s="9">
        <v>0.7708333333333334</v>
      </c>
      <c r="C235" s="12"/>
      <c r="D235" s="31" t="s">
        <v>20</v>
      </c>
      <c r="E235" s="36">
        <f>Dados!$I290</f>
        <v>31</v>
      </c>
      <c r="F235" s="36" t="str">
        <f>Dados!$J290</f>
        <v>Moderado</v>
      </c>
    </row>
    <row r="236">
      <c r="A236" s="8">
        <v>46115.0</v>
      </c>
      <c r="B236" s="9">
        <v>0.7708333333333334</v>
      </c>
      <c r="C236" s="6" t="s">
        <v>27</v>
      </c>
      <c r="D236" s="31" t="s">
        <v>16</v>
      </c>
      <c r="E236" s="36">
        <f>Dados!$I291</f>
        <v>23</v>
      </c>
      <c r="F236" s="36" t="str">
        <f>Dados!$J291</f>
        <v>Leve</v>
      </c>
    </row>
    <row r="237">
      <c r="A237" s="8">
        <v>46115.0</v>
      </c>
      <c r="B237" s="9">
        <v>0.7708333333333334</v>
      </c>
      <c r="C237" s="12"/>
      <c r="D237" s="31" t="s">
        <v>20</v>
      </c>
      <c r="E237" s="36">
        <f>Dados!$I292</f>
        <v>30</v>
      </c>
      <c r="F237" s="36" t="str">
        <f>Dados!$J292</f>
        <v>Moderado</v>
      </c>
    </row>
    <row r="238">
      <c r="A238" s="8">
        <v>46115.0</v>
      </c>
      <c r="B238" s="9">
        <v>0.7708333333333334</v>
      </c>
      <c r="C238" s="6" t="s">
        <v>31</v>
      </c>
      <c r="D238" s="31" t="s">
        <v>16</v>
      </c>
      <c r="E238" s="36">
        <f>Dados!$I293</f>
        <v>29</v>
      </c>
      <c r="F238" s="36" t="str">
        <f>Dados!$J293</f>
        <v>Leve</v>
      </c>
    </row>
    <row r="239">
      <c r="A239" s="8">
        <v>46115.0</v>
      </c>
      <c r="B239" s="9">
        <v>0.7708333333333334</v>
      </c>
      <c r="C239" s="12"/>
      <c r="D239" s="31" t="s">
        <v>20</v>
      </c>
      <c r="E239" s="36">
        <f>Dados!$I294</f>
        <v>32</v>
      </c>
      <c r="F239" s="36" t="str">
        <f>Dados!$J294</f>
        <v>Moderado</v>
      </c>
    </row>
    <row r="240">
      <c r="A240" s="8">
        <v>46115.0</v>
      </c>
      <c r="B240" s="9">
        <v>0.7708333333333334</v>
      </c>
      <c r="C240" s="15" t="s">
        <v>33</v>
      </c>
      <c r="D240" s="31" t="s">
        <v>16</v>
      </c>
      <c r="E240" s="36">
        <f>Dados!$I295</f>
        <v>36</v>
      </c>
      <c r="F240" s="36" t="str">
        <f>Dados!$J295</f>
        <v>Leve</v>
      </c>
    </row>
    <row r="241">
      <c r="A241" s="8">
        <v>46115.0</v>
      </c>
      <c r="B241" s="9">
        <v>0.7708333333333334</v>
      </c>
      <c r="C241" s="12"/>
      <c r="D241" s="31" t="s">
        <v>20</v>
      </c>
      <c r="E241" s="36">
        <f>Dados!$I296</f>
        <v>32</v>
      </c>
      <c r="F241" s="36" t="str">
        <f>Dados!$J296</f>
        <v>Leve</v>
      </c>
    </row>
    <row r="242">
      <c r="A242" s="8">
        <v>46114.0</v>
      </c>
      <c r="B242" s="9">
        <v>0.3125</v>
      </c>
      <c r="C242" s="6" t="s">
        <v>15</v>
      </c>
      <c r="D242" s="31" t="s">
        <v>16</v>
      </c>
      <c r="E242" s="36">
        <f>Dados!$I300</f>
        <v>36</v>
      </c>
      <c r="F242" s="36" t="str">
        <f>Dados!$J300</f>
        <v>Moderado</v>
      </c>
    </row>
    <row r="243">
      <c r="A243" s="8">
        <v>46114.0</v>
      </c>
      <c r="B243" s="9">
        <v>0.3125</v>
      </c>
      <c r="C243" s="12"/>
      <c r="D243" s="31" t="s">
        <v>20</v>
      </c>
      <c r="E243" s="36">
        <f>Dados!$I301</f>
        <v>42</v>
      </c>
      <c r="F243" s="36" t="str">
        <f>Dados!$J301</f>
        <v>Intenso</v>
      </c>
    </row>
    <row r="244">
      <c r="A244" s="8">
        <v>46114.0</v>
      </c>
      <c r="B244" s="9">
        <v>0.3125</v>
      </c>
      <c r="C244" s="6" t="s">
        <v>25</v>
      </c>
      <c r="D244" s="31" t="s">
        <v>16</v>
      </c>
      <c r="E244" s="36">
        <f>Dados!$I302</f>
        <v>27</v>
      </c>
      <c r="F244" s="36" t="str">
        <f>Dados!$J302</f>
        <v>Moderado</v>
      </c>
    </row>
    <row r="245">
      <c r="A245" s="8">
        <v>46114.0</v>
      </c>
      <c r="B245" s="9">
        <v>0.3125</v>
      </c>
      <c r="C245" s="12"/>
      <c r="D245" s="31" t="s">
        <v>20</v>
      </c>
      <c r="E245" s="36">
        <f>Dados!$I303</f>
        <v>41</v>
      </c>
      <c r="F245" s="36" t="str">
        <f>Dados!$J303</f>
        <v>Intenso</v>
      </c>
    </row>
    <row r="246">
      <c r="A246" s="8">
        <v>46114.0</v>
      </c>
      <c r="B246" s="9">
        <v>0.3125</v>
      </c>
      <c r="C246" s="6" t="s">
        <v>27</v>
      </c>
      <c r="D246" s="31" t="s">
        <v>16</v>
      </c>
      <c r="E246" s="36">
        <f>Dados!$I304</f>
        <v>28</v>
      </c>
      <c r="F246" s="36" t="str">
        <f>Dados!$J304</f>
        <v>Leve</v>
      </c>
    </row>
    <row r="247">
      <c r="A247" s="8">
        <v>46114.0</v>
      </c>
      <c r="B247" s="9">
        <v>0.3125</v>
      </c>
      <c r="C247" s="12"/>
      <c r="D247" s="31" t="s">
        <v>20</v>
      </c>
      <c r="E247" s="36">
        <f>Dados!$I305</f>
        <v>42</v>
      </c>
      <c r="F247" s="36" t="str">
        <f>Dados!$J305</f>
        <v>Intenso</v>
      </c>
    </row>
    <row r="248">
      <c r="A248" s="8">
        <v>46114.0</v>
      </c>
      <c r="B248" s="9">
        <v>0.3125</v>
      </c>
      <c r="C248" s="6" t="s">
        <v>31</v>
      </c>
      <c r="D248" s="31" t="s">
        <v>16</v>
      </c>
      <c r="E248" s="36">
        <f>Dados!$I306</f>
        <v>36</v>
      </c>
      <c r="F248" s="36" t="str">
        <f>Dados!$J306</f>
        <v>Leve</v>
      </c>
    </row>
    <row r="249">
      <c r="A249" s="8">
        <v>46114.0</v>
      </c>
      <c r="B249" s="9">
        <v>0.3125</v>
      </c>
      <c r="C249" s="12"/>
      <c r="D249" s="31" t="s">
        <v>20</v>
      </c>
      <c r="E249" s="36">
        <f>Dados!$I307</f>
        <v>44</v>
      </c>
      <c r="F249" s="36" t="str">
        <f>Dados!$J307</f>
        <v>Intenso</v>
      </c>
    </row>
    <row r="250">
      <c r="A250" s="8">
        <v>46114.0</v>
      </c>
      <c r="B250" s="9">
        <v>0.3125</v>
      </c>
      <c r="C250" s="15" t="s">
        <v>33</v>
      </c>
      <c r="D250" s="31" t="s">
        <v>16</v>
      </c>
      <c r="E250" s="36">
        <f>Dados!$I308</f>
        <v>48</v>
      </c>
      <c r="F250" s="36" t="str">
        <f>Dados!$J308</f>
        <v>Intenso</v>
      </c>
    </row>
    <row r="251">
      <c r="A251" s="8">
        <v>46114.0</v>
      </c>
      <c r="B251" s="9">
        <v>0.3125</v>
      </c>
      <c r="C251" s="12"/>
      <c r="D251" s="31" t="s">
        <v>20</v>
      </c>
      <c r="E251" s="36">
        <f>Dados!$I309</f>
        <v>44</v>
      </c>
      <c r="F251" s="36" t="str">
        <f>Dados!$J309</f>
        <v>Intenso</v>
      </c>
    </row>
    <row r="252">
      <c r="A252" s="8">
        <v>46114.0</v>
      </c>
      <c r="B252" s="9">
        <v>0.5208333333333334</v>
      </c>
      <c r="C252" s="6" t="s">
        <v>15</v>
      </c>
      <c r="D252" s="31" t="s">
        <v>16</v>
      </c>
      <c r="E252" s="36">
        <f>Dados!$I312</f>
        <v>32</v>
      </c>
      <c r="F252" s="36" t="str">
        <f>Dados!$J312</f>
        <v>Leve</v>
      </c>
    </row>
    <row r="253">
      <c r="A253" s="8">
        <v>46114.0</v>
      </c>
      <c r="B253" s="9">
        <v>0.5208333333333334</v>
      </c>
      <c r="C253" s="12"/>
      <c r="D253" s="31" t="s">
        <v>20</v>
      </c>
      <c r="E253" s="36">
        <f>Dados!$I313</f>
        <v>40</v>
      </c>
      <c r="F253" s="36" t="str">
        <f>Dados!$J313</f>
        <v>Moderado</v>
      </c>
    </row>
    <row r="254">
      <c r="A254" s="8">
        <v>46114.0</v>
      </c>
      <c r="B254" s="9">
        <v>0.5208333333333334</v>
      </c>
      <c r="C254" s="6" t="s">
        <v>25</v>
      </c>
      <c r="D254" s="31" t="s">
        <v>16</v>
      </c>
      <c r="E254" s="36">
        <f>Dados!$I314</f>
        <v>23</v>
      </c>
      <c r="F254" s="36" t="str">
        <f>Dados!$J314</f>
        <v>Leve</v>
      </c>
    </row>
    <row r="255">
      <c r="A255" s="8">
        <v>46114.0</v>
      </c>
      <c r="B255" s="9">
        <v>0.5208333333333334</v>
      </c>
      <c r="C255" s="12"/>
      <c r="D255" s="31" t="s">
        <v>20</v>
      </c>
      <c r="E255" s="36">
        <f>Dados!$I315</f>
        <v>39</v>
      </c>
      <c r="F255" s="36" t="str">
        <f>Dados!$J315</f>
        <v>Intenso</v>
      </c>
    </row>
    <row r="256">
      <c r="A256" s="8">
        <v>46114.0</v>
      </c>
      <c r="B256" s="9">
        <v>0.5208333333333334</v>
      </c>
      <c r="C256" s="6" t="s">
        <v>27</v>
      </c>
      <c r="D256" s="31" t="s">
        <v>16</v>
      </c>
      <c r="E256" s="36">
        <f>Dados!$I316</f>
        <v>24</v>
      </c>
      <c r="F256" s="36" t="str">
        <f>Dados!$J316</f>
        <v>Leve</v>
      </c>
    </row>
    <row r="257">
      <c r="A257" s="8">
        <v>46114.0</v>
      </c>
      <c r="B257" s="9">
        <v>0.5208333333333334</v>
      </c>
      <c r="C257" s="12"/>
      <c r="D257" s="31" t="s">
        <v>20</v>
      </c>
      <c r="E257" s="36">
        <f>Dados!$I317</f>
        <v>37</v>
      </c>
      <c r="F257" s="36" t="str">
        <f>Dados!$J317</f>
        <v>Intenso</v>
      </c>
    </row>
    <row r="258">
      <c r="A258" s="8">
        <v>46114.0</v>
      </c>
      <c r="B258" s="9">
        <v>0.5208333333333334</v>
      </c>
      <c r="C258" s="6" t="s">
        <v>31</v>
      </c>
      <c r="D258" s="31" t="s">
        <v>16</v>
      </c>
      <c r="E258" s="36">
        <f>Dados!$I318</f>
        <v>30</v>
      </c>
      <c r="F258" s="36" t="str">
        <f>Dados!$J318</f>
        <v>Leve</v>
      </c>
    </row>
    <row r="259">
      <c r="A259" s="8">
        <v>46114.0</v>
      </c>
      <c r="B259" s="9">
        <v>0.5208333333333334</v>
      </c>
      <c r="C259" s="12"/>
      <c r="D259" s="31" t="s">
        <v>20</v>
      </c>
      <c r="E259" s="36">
        <f>Dados!$I319</f>
        <v>34</v>
      </c>
      <c r="F259" s="36" t="str">
        <f>Dados!$J319</f>
        <v>Moderado</v>
      </c>
    </row>
    <row r="260">
      <c r="A260" s="8">
        <v>46114.0</v>
      </c>
      <c r="B260" s="9">
        <v>0.5208333333333334</v>
      </c>
      <c r="C260" s="15" t="s">
        <v>33</v>
      </c>
      <c r="D260" s="31" t="s">
        <v>16</v>
      </c>
      <c r="E260" s="36">
        <f>Dados!$I320</f>
        <v>40</v>
      </c>
      <c r="F260" s="36" t="str">
        <f>Dados!$J320</f>
        <v>Moderado</v>
      </c>
    </row>
    <row r="261">
      <c r="A261" s="8">
        <v>46114.0</v>
      </c>
      <c r="B261" s="9">
        <v>0.5208333333333334</v>
      </c>
      <c r="C261" s="12"/>
      <c r="D261" s="31" t="s">
        <v>20</v>
      </c>
      <c r="E261" s="36">
        <f>Dados!$I321</f>
        <v>35</v>
      </c>
      <c r="F261" s="36" t="str">
        <f>Dados!$J321</f>
        <v>Leve</v>
      </c>
    </row>
    <row r="262">
      <c r="A262" s="8">
        <v>46114.0</v>
      </c>
      <c r="B262" s="9">
        <v>0.7708333333333334</v>
      </c>
      <c r="C262" s="6" t="s">
        <v>15</v>
      </c>
      <c r="D262" s="31" t="s">
        <v>16</v>
      </c>
      <c r="E262" s="36">
        <f>Dados!$I324</f>
        <v>36</v>
      </c>
      <c r="F262" s="36" t="str">
        <f>Dados!$J324</f>
        <v>Moderado</v>
      </c>
    </row>
    <row r="263">
      <c r="A263" s="8">
        <v>46114.0</v>
      </c>
      <c r="B263" s="9">
        <v>0.7708333333333334</v>
      </c>
      <c r="C263" s="12"/>
      <c r="D263" s="31" t="s">
        <v>20</v>
      </c>
      <c r="E263" s="36">
        <f>Dados!$I325</f>
        <v>40</v>
      </c>
      <c r="F263" s="36" t="str">
        <f>Dados!$J325</f>
        <v>Moderado</v>
      </c>
    </row>
    <row r="264">
      <c r="A264" s="8">
        <v>46114.0</v>
      </c>
      <c r="B264" s="9">
        <v>0.7708333333333334</v>
      </c>
      <c r="C264" s="6" t="s">
        <v>25</v>
      </c>
      <c r="D264" s="31" t="s">
        <v>16</v>
      </c>
      <c r="E264" s="36">
        <f>Dados!$I326</f>
        <v>25</v>
      </c>
      <c r="F264" s="36" t="str">
        <f>Dados!$J326</f>
        <v>Moderado</v>
      </c>
    </row>
    <row r="265">
      <c r="A265" s="8">
        <v>46114.0</v>
      </c>
      <c r="B265" s="9">
        <v>0.7708333333333334</v>
      </c>
      <c r="C265" s="12"/>
      <c r="D265" s="31" t="s">
        <v>20</v>
      </c>
      <c r="E265" s="36">
        <f>Dados!$I327</f>
        <v>41</v>
      </c>
      <c r="F265" s="36" t="str">
        <f>Dados!$J327</f>
        <v>Intenso</v>
      </c>
    </row>
    <row r="266">
      <c r="A266" s="8">
        <v>46114.0</v>
      </c>
      <c r="B266" s="9">
        <v>0.7708333333333334</v>
      </c>
      <c r="C266" s="6" t="s">
        <v>27</v>
      </c>
      <c r="D266" s="31" t="s">
        <v>16</v>
      </c>
      <c r="E266" s="36">
        <f>Dados!$I328</f>
        <v>29</v>
      </c>
      <c r="F266" s="36" t="str">
        <f>Dados!$J328</f>
        <v>Leve</v>
      </c>
    </row>
    <row r="267">
      <c r="A267" s="8">
        <v>46114.0</v>
      </c>
      <c r="B267" s="9">
        <v>0.7708333333333334</v>
      </c>
      <c r="C267" s="12"/>
      <c r="D267" s="31" t="s">
        <v>20</v>
      </c>
      <c r="E267" s="36">
        <f>Dados!$I329</f>
        <v>40</v>
      </c>
      <c r="F267" s="36" t="str">
        <f>Dados!$J329</f>
        <v>Intenso</v>
      </c>
    </row>
    <row r="268">
      <c r="A268" s="8">
        <v>46114.0</v>
      </c>
      <c r="B268" s="9">
        <v>0.7708333333333334</v>
      </c>
      <c r="C268" s="6" t="s">
        <v>31</v>
      </c>
      <c r="D268" s="31" t="s">
        <v>16</v>
      </c>
      <c r="E268" s="36">
        <f>Dados!$I330</f>
        <v>38</v>
      </c>
      <c r="F268" s="36" t="str">
        <f>Dados!$J330</f>
        <v>Intenso</v>
      </c>
    </row>
    <row r="269">
      <c r="A269" s="8">
        <v>46114.0</v>
      </c>
      <c r="B269" s="9">
        <v>0.7708333333333334</v>
      </c>
      <c r="C269" s="12"/>
      <c r="D269" s="31" t="s">
        <v>20</v>
      </c>
      <c r="E269" s="36">
        <f>Dados!$I331</f>
        <v>40</v>
      </c>
      <c r="F269" s="36" t="str">
        <f>Dados!$J331</f>
        <v>Intenso</v>
      </c>
    </row>
    <row r="270">
      <c r="A270" s="8">
        <v>46114.0</v>
      </c>
      <c r="B270" s="9">
        <v>0.7708333333333334</v>
      </c>
      <c r="C270" s="15" t="s">
        <v>33</v>
      </c>
      <c r="D270" s="31" t="s">
        <v>16</v>
      </c>
      <c r="E270" s="36">
        <f>Dados!$I332</f>
        <v>46</v>
      </c>
      <c r="F270" s="36" t="str">
        <f>Dados!$J332</f>
        <v>Intenso</v>
      </c>
    </row>
    <row r="271">
      <c r="A271" s="8">
        <v>46114.0</v>
      </c>
      <c r="B271" s="9">
        <v>0.7708333333333334</v>
      </c>
      <c r="C271" s="12"/>
      <c r="D271" s="31" t="s">
        <v>20</v>
      </c>
      <c r="E271" s="36">
        <f>Dados!$I333</f>
        <v>39</v>
      </c>
      <c r="F271" s="36" t="str">
        <f>Dados!$J333</f>
        <v>Leve</v>
      </c>
    </row>
    <row r="272">
      <c r="A272" s="8">
        <v>46113.0</v>
      </c>
      <c r="B272" s="9">
        <v>0.3125</v>
      </c>
      <c r="C272" s="6" t="s">
        <v>15</v>
      </c>
      <c r="D272" s="31" t="s">
        <v>16</v>
      </c>
      <c r="E272" s="36">
        <f>Dados!$I337</f>
        <v>39</v>
      </c>
      <c r="F272" s="36" t="str">
        <f>Dados!$J337</f>
        <v>Moderado</v>
      </c>
    </row>
    <row r="273">
      <c r="A273" s="8">
        <v>46113.0</v>
      </c>
      <c r="B273" s="9">
        <v>0.3125</v>
      </c>
      <c r="C273" s="12"/>
      <c r="D273" s="31" t="s">
        <v>20</v>
      </c>
      <c r="E273" s="36">
        <f>Dados!$I338</f>
        <v>43</v>
      </c>
      <c r="F273" s="36" t="str">
        <f>Dados!$J338</f>
        <v>Intenso</v>
      </c>
    </row>
    <row r="274">
      <c r="A274" s="8">
        <v>46113.0</v>
      </c>
      <c r="B274" s="9">
        <v>0.3125</v>
      </c>
      <c r="C274" s="6" t="s">
        <v>25</v>
      </c>
      <c r="D274" s="31" t="s">
        <v>16</v>
      </c>
      <c r="E274" s="36">
        <f>Dados!$I339</f>
        <v>31</v>
      </c>
      <c r="F274" s="36" t="str">
        <f>Dados!$J339</f>
        <v>Moderado</v>
      </c>
    </row>
    <row r="275">
      <c r="A275" s="8">
        <v>46113.0</v>
      </c>
      <c r="B275" s="9">
        <v>0.3125</v>
      </c>
      <c r="C275" s="12"/>
      <c r="D275" s="31" t="s">
        <v>20</v>
      </c>
      <c r="E275" s="36">
        <f>Dados!$I340</f>
        <v>37</v>
      </c>
      <c r="F275" s="36" t="str">
        <f>Dados!$J340</f>
        <v>Intenso</v>
      </c>
    </row>
    <row r="276">
      <c r="A276" s="8">
        <v>46113.0</v>
      </c>
      <c r="B276" s="9">
        <v>0.3125</v>
      </c>
      <c r="C276" s="6" t="s">
        <v>27</v>
      </c>
      <c r="D276" s="31" t="s">
        <v>16</v>
      </c>
      <c r="E276" s="36">
        <f>Dados!$I341</f>
        <v>28</v>
      </c>
      <c r="F276" s="36" t="str">
        <f>Dados!$J341</f>
        <v>Leve</v>
      </c>
    </row>
    <row r="277">
      <c r="A277" s="8">
        <v>46113.0</v>
      </c>
      <c r="B277" s="9">
        <v>0.3125</v>
      </c>
      <c r="C277" s="12"/>
      <c r="D277" s="31" t="s">
        <v>20</v>
      </c>
      <c r="E277" s="36">
        <f>Dados!$I342</f>
        <v>40</v>
      </c>
      <c r="F277" s="36" t="str">
        <f>Dados!$J342</f>
        <v>Intenso</v>
      </c>
    </row>
    <row r="278">
      <c r="A278" s="8">
        <v>46113.0</v>
      </c>
      <c r="B278" s="9">
        <v>0.3125</v>
      </c>
      <c r="C278" s="6" t="s">
        <v>31</v>
      </c>
      <c r="D278" s="31" t="s">
        <v>16</v>
      </c>
      <c r="E278" s="36">
        <f>Dados!$I343</f>
        <v>36</v>
      </c>
      <c r="F278" s="36" t="str">
        <f>Dados!$J343</f>
        <v>Leve</v>
      </c>
    </row>
    <row r="279">
      <c r="A279" s="8">
        <v>46113.0</v>
      </c>
      <c r="B279" s="9">
        <v>0.3125</v>
      </c>
      <c r="C279" s="12"/>
      <c r="D279" s="31" t="s">
        <v>20</v>
      </c>
      <c r="E279" s="36">
        <f>Dados!$I344</f>
        <v>42</v>
      </c>
      <c r="F279" s="36" t="str">
        <f>Dados!$J344</f>
        <v>Intenso</v>
      </c>
    </row>
    <row r="280">
      <c r="A280" s="8">
        <v>46113.0</v>
      </c>
      <c r="B280" s="9">
        <v>0.3125</v>
      </c>
      <c r="C280" s="15" t="s">
        <v>33</v>
      </c>
      <c r="D280" s="31" t="s">
        <v>16</v>
      </c>
      <c r="E280" s="36">
        <f>Dados!$I345</f>
        <v>46</v>
      </c>
      <c r="F280" s="36" t="str">
        <f>Dados!$J345</f>
        <v>Intenso</v>
      </c>
    </row>
    <row r="281">
      <c r="A281" s="8">
        <v>46113.0</v>
      </c>
      <c r="B281" s="9">
        <v>0.3125</v>
      </c>
      <c r="C281" s="12"/>
      <c r="D281" s="31" t="s">
        <v>20</v>
      </c>
      <c r="E281" s="36">
        <f>Dados!$I346</f>
        <v>42</v>
      </c>
      <c r="F281" s="36" t="str">
        <f>Dados!$J346</f>
        <v>Moderado</v>
      </c>
    </row>
    <row r="282">
      <c r="A282" s="8">
        <v>46113.0</v>
      </c>
      <c r="B282" s="9">
        <v>0.5208333333333334</v>
      </c>
      <c r="C282" s="6" t="s">
        <v>15</v>
      </c>
      <c r="D282" s="31" t="s">
        <v>16</v>
      </c>
      <c r="E282" s="36">
        <f>Dados!$I349</f>
        <v>32</v>
      </c>
      <c r="F282" s="36" t="str">
        <f>Dados!$J349</f>
        <v>Leve</v>
      </c>
    </row>
    <row r="283">
      <c r="A283" s="8">
        <v>46113.0</v>
      </c>
      <c r="B283" s="9">
        <v>0.5208333333333334</v>
      </c>
      <c r="C283" s="12"/>
      <c r="D283" s="31" t="s">
        <v>20</v>
      </c>
      <c r="E283" s="36">
        <f>Dados!$I350</f>
        <v>38</v>
      </c>
      <c r="F283" s="36" t="str">
        <f>Dados!$J350</f>
        <v>Moderado</v>
      </c>
    </row>
    <row r="284">
      <c r="A284" s="8">
        <v>46113.0</v>
      </c>
      <c r="B284" s="9">
        <v>0.5208333333333334</v>
      </c>
      <c r="C284" s="6" t="s">
        <v>25</v>
      </c>
      <c r="D284" s="31" t="s">
        <v>16</v>
      </c>
      <c r="E284" s="36">
        <f>Dados!$I351</f>
        <v>23</v>
      </c>
      <c r="F284" s="36" t="str">
        <f>Dados!$J351</f>
        <v>Leve</v>
      </c>
    </row>
    <row r="285">
      <c r="A285" s="8">
        <v>46113.0</v>
      </c>
      <c r="B285" s="9">
        <v>0.5208333333333334</v>
      </c>
      <c r="C285" s="12"/>
      <c r="D285" s="31" t="s">
        <v>20</v>
      </c>
      <c r="E285" s="36">
        <f>Dados!$I352</f>
        <v>37</v>
      </c>
      <c r="F285" s="36" t="str">
        <f>Dados!$J352</f>
        <v>Intenso</v>
      </c>
    </row>
    <row r="286">
      <c r="A286" s="8">
        <v>46113.0</v>
      </c>
      <c r="B286" s="9">
        <v>0.5208333333333334</v>
      </c>
      <c r="C286" s="6" t="s">
        <v>27</v>
      </c>
      <c r="D286" s="31" t="s">
        <v>16</v>
      </c>
      <c r="E286" s="36">
        <f>Dados!$I353</f>
        <v>25</v>
      </c>
      <c r="F286" s="36" t="str">
        <f>Dados!$J353</f>
        <v>Leve</v>
      </c>
    </row>
    <row r="287">
      <c r="A287" s="8">
        <v>46113.0</v>
      </c>
      <c r="B287" s="9">
        <v>0.5208333333333334</v>
      </c>
      <c r="C287" s="12"/>
      <c r="D287" s="31" t="s">
        <v>20</v>
      </c>
      <c r="E287" s="36">
        <f>Dados!$I354</f>
        <v>37</v>
      </c>
      <c r="F287" s="36" t="str">
        <f>Dados!$J354</f>
        <v>Intenso</v>
      </c>
    </row>
    <row r="288">
      <c r="A288" s="8">
        <v>46113.0</v>
      </c>
      <c r="B288" s="9">
        <v>0.5208333333333334</v>
      </c>
      <c r="C288" s="6" t="s">
        <v>31</v>
      </c>
      <c r="D288" s="31" t="s">
        <v>16</v>
      </c>
      <c r="E288" s="36">
        <f>Dados!$I355</f>
        <v>32</v>
      </c>
      <c r="F288" s="36" t="str">
        <f>Dados!$J355</f>
        <v>Leve</v>
      </c>
    </row>
    <row r="289">
      <c r="A289" s="8">
        <v>46113.0</v>
      </c>
      <c r="B289" s="9">
        <v>0.5208333333333334</v>
      </c>
      <c r="C289" s="12"/>
      <c r="D289" s="31" t="s">
        <v>20</v>
      </c>
      <c r="E289" s="36">
        <f>Dados!$I356</f>
        <v>36</v>
      </c>
      <c r="F289" s="36" t="str">
        <f>Dados!$J356</f>
        <v>Moderado</v>
      </c>
    </row>
    <row r="290">
      <c r="A290" s="8">
        <v>46113.0</v>
      </c>
      <c r="B290" s="9">
        <v>0.5208333333333334</v>
      </c>
      <c r="C290" s="15" t="s">
        <v>33</v>
      </c>
      <c r="D290" s="31" t="s">
        <v>16</v>
      </c>
      <c r="E290" s="36">
        <f>Dados!$I357</f>
        <v>40</v>
      </c>
      <c r="F290" s="36" t="str">
        <f>Dados!$J357</f>
        <v>Moderado</v>
      </c>
    </row>
    <row r="291">
      <c r="A291" s="8">
        <v>46113.0</v>
      </c>
      <c r="B291" s="9">
        <v>0.5208333333333334</v>
      </c>
      <c r="C291" s="12"/>
      <c r="D291" s="31" t="s">
        <v>20</v>
      </c>
      <c r="E291" s="36">
        <f>Dados!$I358</f>
        <v>45</v>
      </c>
      <c r="F291" s="36" t="str">
        <f>Dados!$J358</f>
        <v>Leve</v>
      </c>
    </row>
    <row r="292">
      <c r="A292" s="8">
        <v>46113.0</v>
      </c>
      <c r="B292" s="9">
        <v>0.7708333333333334</v>
      </c>
      <c r="C292" s="6" t="s">
        <v>15</v>
      </c>
      <c r="D292" s="31" t="s">
        <v>16</v>
      </c>
      <c r="E292" s="36">
        <f>Dados!$I361</f>
        <v>36</v>
      </c>
      <c r="F292" s="36" t="str">
        <f>Dados!$J361</f>
        <v>Moderado</v>
      </c>
    </row>
    <row r="293">
      <c r="A293" s="8">
        <v>46113.0</v>
      </c>
      <c r="B293" s="9">
        <v>0.7708333333333334</v>
      </c>
      <c r="C293" s="12"/>
      <c r="D293" s="31" t="s">
        <v>20</v>
      </c>
      <c r="E293" s="36">
        <f>Dados!$I362</f>
        <v>40</v>
      </c>
      <c r="F293" s="36" t="str">
        <f>Dados!$J362</f>
        <v>Moderado</v>
      </c>
    </row>
    <row r="294">
      <c r="A294" s="8">
        <v>46113.0</v>
      </c>
      <c r="B294" s="9">
        <v>0.7708333333333334</v>
      </c>
      <c r="C294" s="6" t="s">
        <v>25</v>
      </c>
      <c r="D294" s="31" t="s">
        <v>16</v>
      </c>
      <c r="E294" s="36">
        <f>Dados!$I363</f>
        <v>25</v>
      </c>
      <c r="F294" s="36" t="str">
        <f>Dados!$J363</f>
        <v>Moderado</v>
      </c>
    </row>
    <row r="295">
      <c r="A295" s="8">
        <v>46113.0</v>
      </c>
      <c r="B295" s="9">
        <v>0.7708333333333334</v>
      </c>
      <c r="C295" s="12"/>
      <c r="D295" s="31" t="s">
        <v>20</v>
      </c>
      <c r="E295" s="36">
        <f>Dados!$I364</f>
        <v>41</v>
      </c>
      <c r="F295" s="36" t="str">
        <f>Dados!$J364</f>
        <v>Intenso</v>
      </c>
    </row>
    <row r="296">
      <c r="A296" s="8">
        <v>46113.0</v>
      </c>
      <c r="B296" s="9">
        <v>0.7708333333333334</v>
      </c>
      <c r="C296" s="6" t="s">
        <v>27</v>
      </c>
      <c r="D296" s="31" t="s">
        <v>16</v>
      </c>
      <c r="E296" s="36">
        <f>Dados!$I365</f>
        <v>27</v>
      </c>
      <c r="F296" s="36" t="str">
        <f>Dados!$J365</f>
        <v>Leve</v>
      </c>
    </row>
    <row r="297">
      <c r="A297" s="8">
        <v>46113.0</v>
      </c>
      <c r="B297" s="9">
        <v>0.7708333333333334</v>
      </c>
      <c r="C297" s="12"/>
      <c r="D297" s="31" t="s">
        <v>20</v>
      </c>
      <c r="E297" s="36">
        <f>Dados!$I366</f>
        <v>41</v>
      </c>
      <c r="F297" s="36" t="str">
        <f>Dados!$J366</f>
        <v>Intenso</v>
      </c>
    </row>
    <row r="298">
      <c r="A298" s="8">
        <v>46113.0</v>
      </c>
      <c r="B298" s="9">
        <v>0.7708333333333334</v>
      </c>
      <c r="C298" s="6" t="s">
        <v>31</v>
      </c>
      <c r="D298" s="31" t="s">
        <v>16</v>
      </c>
      <c r="E298" s="36">
        <f>Dados!$I367</f>
        <v>34</v>
      </c>
      <c r="F298" s="36" t="str">
        <f>Dados!$J367</f>
        <v>Moderado</v>
      </c>
    </row>
    <row r="299">
      <c r="A299" s="8">
        <v>46113.0</v>
      </c>
      <c r="B299" s="9">
        <v>0.7708333333333334</v>
      </c>
      <c r="C299" s="12"/>
      <c r="D299" s="31" t="s">
        <v>20</v>
      </c>
      <c r="E299" s="36">
        <f>Dados!$I368</f>
        <v>36</v>
      </c>
      <c r="F299" s="36" t="str">
        <f>Dados!$J368</f>
        <v>Intenso</v>
      </c>
    </row>
    <row r="300">
      <c r="A300" s="8">
        <v>46113.0</v>
      </c>
      <c r="B300" s="9">
        <v>0.7708333333333334</v>
      </c>
      <c r="C300" s="15" t="s">
        <v>33</v>
      </c>
      <c r="D300" s="31" t="s">
        <v>16</v>
      </c>
      <c r="E300" s="36">
        <f>Dados!$I369</f>
        <v>44</v>
      </c>
      <c r="F300" s="36" t="str">
        <f>Dados!$J369</f>
        <v>Moderado</v>
      </c>
    </row>
    <row r="301">
      <c r="A301" s="8">
        <v>46113.0</v>
      </c>
      <c r="B301" s="9">
        <v>0.7708333333333334</v>
      </c>
      <c r="C301" s="12"/>
      <c r="D301" s="31" t="s">
        <v>20</v>
      </c>
      <c r="E301" s="36">
        <f>Dados!$I370</f>
        <v>38</v>
      </c>
      <c r="F301" s="36" t="str">
        <f>Dados!$J370</f>
        <v>Leve</v>
      </c>
    </row>
  </sheetData>
  <mergeCells count="150"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96:C297"/>
    <mergeCell ref="C298:C299"/>
    <mergeCell ref="C300:C301"/>
    <mergeCell ref="C282:C283"/>
    <mergeCell ref="C284:C285"/>
    <mergeCell ref="C286:C287"/>
    <mergeCell ref="C288:C289"/>
    <mergeCell ref="C290:C291"/>
    <mergeCell ref="C292:C293"/>
    <mergeCell ref="C294:C295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</mergeCells>
  <conditionalFormatting sqref="A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25"/>
    <col customWidth="1" min="3" max="6" width="20.88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39" t="s">
        <v>4</v>
      </c>
      <c r="B1" s="39" t="s">
        <v>63</v>
      </c>
      <c r="C1" s="39" t="s">
        <v>2</v>
      </c>
      <c r="D1" s="39" t="s">
        <v>3</v>
      </c>
      <c r="E1" s="39" t="s">
        <v>9</v>
      </c>
      <c r="F1" s="40" t="s">
        <v>64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2">
        <v>46122.0</v>
      </c>
      <c r="B2" s="43">
        <v>0.3125</v>
      </c>
      <c r="C2" s="44" t="s">
        <v>15</v>
      </c>
      <c r="D2" s="45" t="s">
        <v>16</v>
      </c>
      <c r="E2" s="46">
        <f> Dados!$I3</f>
        <v>39</v>
      </c>
      <c r="F2" s="46" t="str">
        <f>Dados!$J3</f>
        <v>Moderado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42">
        <v>46122.0</v>
      </c>
      <c r="B3" s="43">
        <v>0.3125</v>
      </c>
      <c r="C3" s="44" t="s">
        <v>15</v>
      </c>
      <c r="D3" s="45" t="s">
        <v>20</v>
      </c>
      <c r="E3" s="46">
        <f> Dados!$I4</f>
        <v>43</v>
      </c>
      <c r="F3" s="46" t="str">
        <f>Dados!$J4</f>
        <v>Intenso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42">
        <v>46122.0</v>
      </c>
      <c r="B4" s="43">
        <v>0.3125</v>
      </c>
      <c r="C4" s="44" t="s">
        <v>25</v>
      </c>
      <c r="D4" s="45" t="s">
        <v>16</v>
      </c>
      <c r="E4" s="46">
        <f> Dados!$I5</f>
        <v>27</v>
      </c>
      <c r="F4" s="46" t="str">
        <f>Dados!$J5</f>
        <v>Moderado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42">
        <v>46122.0</v>
      </c>
      <c r="B5" s="43">
        <v>0.3125</v>
      </c>
      <c r="C5" s="44" t="s">
        <v>25</v>
      </c>
      <c r="D5" s="45" t="s">
        <v>20</v>
      </c>
      <c r="E5" s="46">
        <f> Dados!$I6</f>
        <v>39</v>
      </c>
      <c r="F5" s="46" t="str">
        <f>Dados!$J6</f>
        <v>Intenso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42">
        <v>46122.0</v>
      </c>
      <c r="B6" s="43">
        <v>0.3125</v>
      </c>
      <c r="C6" s="44" t="s">
        <v>27</v>
      </c>
      <c r="D6" s="45" t="s">
        <v>16</v>
      </c>
      <c r="E6" s="46">
        <f> Dados!$I7</f>
        <v>27</v>
      </c>
      <c r="F6" s="46" t="str">
        <f>Dados!$J7</f>
        <v>Leve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42">
        <v>46122.0</v>
      </c>
      <c r="B7" s="43">
        <v>0.3125</v>
      </c>
      <c r="C7" s="44" t="s">
        <v>27</v>
      </c>
      <c r="D7" s="45" t="s">
        <v>20</v>
      </c>
      <c r="E7" s="46">
        <f> Dados!$I8</f>
        <v>39</v>
      </c>
      <c r="F7" s="46" t="str">
        <f>Dados!$J8</f>
        <v>Intenso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42">
        <v>46122.0</v>
      </c>
      <c r="B8" s="43">
        <v>0.3125</v>
      </c>
      <c r="C8" s="44" t="s">
        <v>31</v>
      </c>
      <c r="D8" s="45" t="s">
        <v>16</v>
      </c>
      <c r="E8" s="46">
        <f> Dados!$I9</f>
        <v>36</v>
      </c>
      <c r="F8" s="46" t="str">
        <f>Dados!$J9</f>
        <v>Leve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42">
        <v>46122.0</v>
      </c>
      <c r="B9" s="43">
        <v>0.3125</v>
      </c>
      <c r="C9" s="44" t="s">
        <v>31</v>
      </c>
      <c r="D9" s="45" t="s">
        <v>20</v>
      </c>
      <c r="E9" s="46">
        <f> Dados!$I10</f>
        <v>42</v>
      </c>
      <c r="F9" s="46" t="str">
        <f>Dados!$J10</f>
        <v>Intenso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42">
        <v>46122.0</v>
      </c>
      <c r="B10" s="43">
        <v>0.3125</v>
      </c>
      <c r="C10" s="47" t="s">
        <v>33</v>
      </c>
      <c r="D10" s="45" t="s">
        <v>16</v>
      </c>
      <c r="E10" s="46">
        <f> Dados!$I11</f>
        <v>48</v>
      </c>
      <c r="F10" s="46" t="str">
        <f>Dados!$J11</f>
        <v>Intenso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42">
        <v>46122.0</v>
      </c>
      <c r="B11" s="43">
        <v>0.3125</v>
      </c>
      <c r="C11" s="47" t="s">
        <v>33</v>
      </c>
      <c r="D11" s="45" t="s">
        <v>20</v>
      </c>
      <c r="E11" s="46">
        <f> Dados!$I12</f>
        <v>44</v>
      </c>
      <c r="F11" s="46" t="str">
        <f>Dados!$J12</f>
        <v>Moderado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42">
        <v>46122.0</v>
      </c>
      <c r="B12" s="43">
        <v>0.5208333333333334</v>
      </c>
      <c r="C12" s="44" t="s">
        <v>15</v>
      </c>
      <c r="D12" s="45" t="s">
        <v>16</v>
      </c>
      <c r="E12" s="46">
        <f> Dados!$I15</f>
        <v>32</v>
      </c>
      <c r="F12" s="48" t="str">
        <f>Dados!$J15</f>
        <v>Leve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42">
        <v>46122.0</v>
      </c>
      <c r="B13" s="43">
        <v>0.5208333333333334</v>
      </c>
      <c r="C13" s="44" t="s">
        <v>15</v>
      </c>
      <c r="D13" s="45" t="s">
        <v>20</v>
      </c>
      <c r="E13" s="46">
        <f> Dados!$I16</f>
        <v>38</v>
      </c>
      <c r="F13" s="48" t="str">
        <f>Dados!$J16</f>
        <v>Moderado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42">
        <v>46122.0</v>
      </c>
      <c r="B14" s="43">
        <v>0.5208333333333334</v>
      </c>
      <c r="C14" s="44" t="s">
        <v>25</v>
      </c>
      <c r="D14" s="45" t="s">
        <v>16</v>
      </c>
      <c r="E14" s="46">
        <f> Dados!$I17</f>
        <v>25</v>
      </c>
      <c r="F14" s="48" t="str">
        <f>Dados!$J17</f>
        <v>Moderado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42">
        <v>46122.0</v>
      </c>
      <c r="B15" s="43">
        <v>0.5208333333333334</v>
      </c>
      <c r="C15" s="44" t="s">
        <v>25</v>
      </c>
      <c r="D15" s="45" t="s">
        <v>20</v>
      </c>
      <c r="E15" s="46">
        <f> Dados!$I18</f>
        <v>41</v>
      </c>
      <c r="F15" s="48" t="str">
        <f>Dados!$J18</f>
        <v>Intenso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42">
        <v>46122.0</v>
      </c>
      <c r="B16" s="43">
        <v>0.5208333333333334</v>
      </c>
      <c r="C16" s="44" t="s">
        <v>27</v>
      </c>
      <c r="D16" s="45" t="s">
        <v>16</v>
      </c>
      <c r="E16" s="46">
        <f> Dados!$I19</f>
        <v>26</v>
      </c>
      <c r="F16" s="48" t="str">
        <f>Dados!$J19</f>
        <v>Leve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42">
        <v>46122.0</v>
      </c>
      <c r="B17" s="43">
        <v>0.5208333333333334</v>
      </c>
      <c r="C17" s="44" t="s">
        <v>27</v>
      </c>
      <c r="D17" s="45" t="s">
        <v>20</v>
      </c>
      <c r="E17" s="46">
        <f> Dados!$I20</f>
        <v>40</v>
      </c>
      <c r="F17" s="48" t="str">
        <f>Dados!$J20</f>
        <v>Intenso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42">
        <v>46122.0</v>
      </c>
      <c r="B18" s="43">
        <v>0.5208333333333334</v>
      </c>
      <c r="C18" s="44" t="s">
        <v>31</v>
      </c>
      <c r="D18" s="45" t="s">
        <v>16</v>
      </c>
      <c r="E18" s="46">
        <f> Dados!$I21</f>
        <v>32</v>
      </c>
      <c r="F18" s="48" t="str">
        <f>Dados!$J21</f>
        <v>Leve</v>
      </c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42">
        <v>46122.0</v>
      </c>
      <c r="B19" s="43">
        <v>0.5208333333333334</v>
      </c>
      <c r="C19" s="44" t="s">
        <v>31</v>
      </c>
      <c r="D19" s="45" t="s">
        <v>20</v>
      </c>
      <c r="E19" s="46">
        <f> Dados!$I22</f>
        <v>38</v>
      </c>
      <c r="F19" s="48" t="str">
        <f>Dados!$J22</f>
        <v>Intenso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42">
        <v>46122.0</v>
      </c>
      <c r="B20" s="43">
        <v>0.5208333333333334</v>
      </c>
      <c r="C20" s="47" t="s">
        <v>33</v>
      </c>
      <c r="D20" s="45" t="s">
        <v>16</v>
      </c>
      <c r="E20" s="46">
        <f> Dados!$I23</f>
        <v>42</v>
      </c>
      <c r="F20" s="48" t="str">
        <f>Dados!$J23</f>
        <v>Moderado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42">
        <v>46122.0</v>
      </c>
      <c r="B21" s="43">
        <v>0.5208333333333334</v>
      </c>
      <c r="C21" s="47" t="s">
        <v>33</v>
      </c>
      <c r="D21" s="45" t="s">
        <v>20</v>
      </c>
      <c r="E21" s="46">
        <f> Dados!$I24</f>
        <v>38</v>
      </c>
      <c r="F21" s="48" t="str">
        <f>Dados!$J24</f>
        <v>Moderado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42">
        <v>46122.0</v>
      </c>
      <c r="B22" s="43">
        <v>0.7708333333333334</v>
      </c>
      <c r="C22" s="44" t="s">
        <v>15</v>
      </c>
      <c r="D22" s="45" t="s">
        <v>16</v>
      </c>
      <c r="E22" s="46">
        <f>Dados!$I27</f>
        <v>36</v>
      </c>
      <c r="F22" s="46" t="str">
        <f>Dados!$J27</f>
        <v>Moderado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42">
        <v>46122.0</v>
      </c>
      <c r="B23" s="43">
        <v>0.7708333333333334</v>
      </c>
      <c r="C23" s="44" t="s">
        <v>15</v>
      </c>
      <c r="D23" s="45" t="s">
        <v>20</v>
      </c>
      <c r="E23" s="46">
        <f>Dados!$I28</f>
        <v>40</v>
      </c>
      <c r="F23" s="46" t="str">
        <f>Dados!$J28</f>
        <v>Moderado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42">
        <v>46122.0</v>
      </c>
      <c r="B24" s="43">
        <v>0.7708333333333334</v>
      </c>
      <c r="C24" s="44" t="s">
        <v>25</v>
      </c>
      <c r="D24" s="45" t="s">
        <v>16</v>
      </c>
      <c r="E24" s="46">
        <f>Dados!$I29</f>
        <v>25</v>
      </c>
      <c r="F24" s="46" t="str">
        <f>Dados!$J29</f>
        <v>Moderado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42">
        <v>46122.0</v>
      </c>
      <c r="B25" s="43">
        <v>0.7708333333333334</v>
      </c>
      <c r="C25" s="44" t="s">
        <v>25</v>
      </c>
      <c r="D25" s="45" t="s">
        <v>20</v>
      </c>
      <c r="E25" s="46">
        <f>Dados!$I30</f>
        <v>41</v>
      </c>
      <c r="F25" s="46" t="str">
        <f>Dados!$J30</f>
        <v>Intenso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42">
        <v>46122.0</v>
      </c>
      <c r="B26" s="43">
        <v>0.7708333333333334</v>
      </c>
      <c r="C26" s="44" t="s">
        <v>27</v>
      </c>
      <c r="D26" s="45" t="s">
        <v>16</v>
      </c>
      <c r="E26" s="46">
        <f>Dados!$I31</f>
        <v>30</v>
      </c>
      <c r="F26" s="46" t="str">
        <f>Dados!$J31</f>
        <v>Leve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42">
        <v>46122.0</v>
      </c>
      <c r="B27" s="43">
        <v>0.7708333333333334</v>
      </c>
      <c r="C27" s="44" t="s">
        <v>27</v>
      </c>
      <c r="D27" s="45" t="s">
        <v>20</v>
      </c>
      <c r="E27" s="46">
        <f>Dados!$I32</f>
        <v>42</v>
      </c>
      <c r="F27" s="46" t="str">
        <f>Dados!$J32</f>
        <v>Intenso</v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42">
        <v>46122.0</v>
      </c>
      <c r="B28" s="43">
        <v>0.7708333333333334</v>
      </c>
      <c r="C28" s="44" t="s">
        <v>31</v>
      </c>
      <c r="D28" s="45" t="s">
        <v>16</v>
      </c>
      <c r="E28" s="46">
        <f>Dados!$I33</f>
        <v>36</v>
      </c>
      <c r="F28" s="46" t="str">
        <f>Dados!$J33</f>
        <v>Moderado</v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42">
        <v>46122.0</v>
      </c>
      <c r="B29" s="43">
        <v>0.7708333333333334</v>
      </c>
      <c r="C29" s="44" t="s">
        <v>31</v>
      </c>
      <c r="D29" s="45" t="s">
        <v>20</v>
      </c>
      <c r="E29" s="46">
        <f>Dados!$I34</f>
        <v>38</v>
      </c>
      <c r="F29" s="46" t="str">
        <f>Dados!$J34</f>
        <v>Intenso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42">
        <v>46122.0</v>
      </c>
      <c r="B30" s="43">
        <v>0.7708333333333334</v>
      </c>
      <c r="C30" s="47" t="s">
        <v>33</v>
      </c>
      <c r="D30" s="45" t="s">
        <v>16</v>
      </c>
      <c r="E30" s="46">
        <f>Dados!$I35</f>
        <v>46</v>
      </c>
      <c r="F30" s="46" t="str">
        <f>Dados!$J35</f>
        <v>Intenso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42">
        <v>46122.0</v>
      </c>
      <c r="B31" s="43">
        <v>0.7708333333333334</v>
      </c>
      <c r="C31" s="47" t="s">
        <v>33</v>
      </c>
      <c r="D31" s="45" t="s">
        <v>20</v>
      </c>
      <c r="E31" s="46">
        <f>Dados!$I36</f>
        <v>39</v>
      </c>
      <c r="F31" s="46" t="str">
        <f>Dados!$J36</f>
        <v>Leve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2">
        <v>46121.0</v>
      </c>
      <c r="B32" s="43">
        <v>0.3125</v>
      </c>
      <c r="C32" s="44" t="s">
        <v>15</v>
      </c>
      <c r="D32" s="45" t="s">
        <v>16</v>
      </c>
      <c r="E32" s="48">
        <f>Dados!$I41</f>
        <v>36</v>
      </c>
      <c r="F32" s="48" t="str">
        <f>Dados!$J41</f>
        <v>Moderado</v>
      </c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42">
        <v>46121.0</v>
      </c>
      <c r="B33" s="43">
        <v>0.3125</v>
      </c>
      <c r="C33" s="44" t="s">
        <v>15</v>
      </c>
      <c r="D33" s="45" t="s">
        <v>20</v>
      </c>
      <c r="E33" s="48">
        <f>Dados!$I42</f>
        <v>42</v>
      </c>
      <c r="F33" s="48" t="str">
        <f>Dados!$J42</f>
        <v>Intenso</v>
      </c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42">
        <v>46121.0</v>
      </c>
      <c r="B34" s="43">
        <v>0.3125</v>
      </c>
      <c r="C34" s="44" t="s">
        <v>25</v>
      </c>
      <c r="D34" s="45" t="s">
        <v>16</v>
      </c>
      <c r="E34" s="48">
        <f>Dados!$I43</f>
        <v>27</v>
      </c>
      <c r="F34" s="48" t="str">
        <f>Dados!$J43</f>
        <v>Moderado</v>
      </c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42">
        <v>46121.0</v>
      </c>
      <c r="B35" s="43">
        <v>0.3125</v>
      </c>
      <c r="C35" s="44" t="s">
        <v>25</v>
      </c>
      <c r="D35" s="45" t="s">
        <v>20</v>
      </c>
      <c r="E35" s="48">
        <f>Dados!$I44</f>
        <v>41</v>
      </c>
      <c r="F35" s="48" t="str">
        <f>Dados!$J44</f>
        <v>Intenso</v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42">
        <v>46121.0</v>
      </c>
      <c r="B36" s="43">
        <v>0.3125</v>
      </c>
      <c r="C36" s="44" t="s">
        <v>27</v>
      </c>
      <c r="D36" s="45" t="s">
        <v>16</v>
      </c>
      <c r="E36" s="48">
        <f>Dados!$I45</f>
        <v>28</v>
      </c>
      <c r="F36" s="48" t="str">
        <f>Dados!$J45</f>
        <v>Leve</v>
      </c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42">
        <v>46121.0</v>
      </c>
      <c r="B37" s="43">
        <v>0.3125</v>
      </c>
      <c r="C37" s="44" t="s">
        <v>27</v>
      </c>
      <c r="D37" s="45" t="s">
        <v>20</v>
      </c>
      <c r="E37" s="48">
        <f>Dados!$I46</f>
        <v>42</v>
      </c>
      <c r="F37" s="48" t="str">
        <f>Dados!$J46</f>
        <v>Intenso</v>
      </c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42">
        <v>46121.0</v>
      </c>
      <c r="B38" s="43">
        <v>0.3125</v>
      </c>
      <c r="C38" s="44" t="s">
        <v>31</v>
      </c>
      <c r="D38" s="45" t="s">
        <v>16</v>
      </c>
      <c r="E38" s="48">
        <f>Dados!$I47</f>
        <v>36</v>
      </c>
      <c r="F38" s="48" t="str">
        <f>Dados!$J47</f>
        <v>Leve</v>
      </c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42">
        <v>46121.0</v>
      </c>
      <c r="B39" s="43">
        <v>0.3125</v>
      </c>
      <c r="C39" s="44" t="s">
        <v>31</v>
      </c>
      <c r="D39" s="45" t="s">
        <v>20</v>
      </c>
      <c r="E39" s="48">
        <f>Dados!$I48</f>
        <v>44</v>
      </c>
      <c r="F39" s="48" t="str">
        <f>Dados!$J48</f>
        <v>Intenso</v>
      </c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42">
        <v>46121.0</v>
      </c>
      <c r="B40" s="43">
        <v>0.3125</v>
      </c>
      <c r="C40" s="47" t="s">
        <v>33</v>
      </c>
      <c r="D40" s="45" t="s">
        <v>16</v>
      </c>
      <c r="E40" s="48">
        <f>Dados!$I49</f>
        <v>48</v>
      </c>
      <c r="F40" s="48" t="str">
        <f>Dados!$J49</f>
        <v>Intenso</v>
      </c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42">
        <v>46121.0</v>
      </c>
      <c r="B41" s="43">
        <v>0.3125</v>
      </c>
      <c r="C41" s="47" t="s">
        <v>33</v>
      </c>
      <c r="D41" s="45" t="s">
        <v>20</v>
      </c>
      <c r="E41" s="48">
        <f>Dados!$I50</f>
        <v>32</v>
      </c>
      <c r="F41" s="48" t="str">
        <f>Dados!$J50</f>
        <v>Intenso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42">
        <v>46121.0</v>
      </c>
      <c r="B42" s="43">
        <v>0.5208333333333334</v>
      </c>
      <c r="C42" s="44" t="s">
        <v>15</v>
      </c>
      <c r="D42" s="45" t="s">
        <v>16</v>
      </c>
      <c r="E42" s="48">
        <f>Dados!$I53</f>
        <v>32</v>
      </c>
      <c r="F42" s="48" t="str">
        <f>Dados!$J53</f>
        <v>Leve</v>
      </c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42">
        <v>46121.0</v>
      </c>
      <c r="B43" s="43">
        <v>0.5208333333333334</v>
      </c>
      <c r="C43" s="44" t="s">
        <v>15</v>
      </c>
      <c r="D43" s="45" t="s">
        <v>20</v>
      </c>
      <c r="E43" s="48">
        <f>Dados!$I54</f>
        <v>40</v>
      </c>
      <c r="F43" s="48" t="str">
        <f>Dados!$J54</f>
        <v>Moderado</v>
      </c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42">
        <v>46121.0</v>
      </c>
      <c r="B44" s="43">
        <v>0.5208333333333334</v>
      </c>
      <c r="C44" s="44" t="s">
        <v>25</v>
      </c>
      <c r="D44" s="45" t="s">
        <v>16</v>
      </c>
      <c r="E44" s="48">
        <f>Dados!$I55</f>
        <v>23</v>
      </c>
      <c r="F44" s="48" t="str">
        <f>Dados!$J55</f>
        <v>Leve</v>
      </c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42">
        <v>46121.0</v>
      </c>
      <c r="B45" s="43">
        <v>0.5208333333333334</v>
      </c>
      <c r="C45" s="44" t="s">
        <v>25</v>
      </c>
      <c r="D45" s="45" t="s">
        <v>20</v>
      </c>
      <c r="E45" s="48">
        <f>Dados!$I56</f>
        <v>39</v>
      </c>
      <c r="F45" s="48" t="str">
        <f>Dados!$J56</f>
        <v>Intenso</v>
      </c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42">
        <v>46121.0</v>
      </c>
      <c r="B46" s="43">
        <v>0.5208333333333334</v>
      </c>
      <c r="C46" s="44" t="s">
        <v>27</v>
      </c>
      <c r="D46" s="45" t="s">
        <v>16</v>
      </c>
      <c r="E46" s="48">
        <f>Dados!$I57</f>
        <v>24</v>
      </c>
      <c r="F46" s="48" t="str">
        <f>Dados!$J57</f>
        <v>Leve</v>
      </c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42">
        <v>46121.0</v>
      </c>
      <c r="B47" s="43">
        <v>0.5208333333333334</v>
      </c>
      <c r="C47" s="44" t="s">
        <v>27</v>
      </c>
      <c r="D47" s="45" t="s">
        <v>20</v>
      </c>
      <c r="E47" s="48">
        <f>Dados!$I58</f>
        <v>37</v>
      </c>
      <c r="F47" s="48" t="str">
        <f>Dados!$J58</f>
        <v>Intenso</v>
      </c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42">
        <v>46121.0</v>
      </c>
      <c r="B48" s="43">
        <v>0.5208333333333334</v>
      </c>
      <c r="C48" s="44" t="s">
        <v>31</v>
      </c>
      <c r="D48" s="45" t="s">
        <v>16</v>
      </c>
      <c r="E48" s="48">
        <f>Dados!$I59</f>
        <v>30</v>
      </c>
      <c r="F48" s="48" t="str">
        <f>Dados!$J59</f>
        <v>Leve</v>
      </c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>
      <c r="A49" s="42">
        <v>46121.0</v>
      </c>
      <c r="B49" s="43">
        <v>0.5208333333333334</v>
      </c>
      <c r="C49" s="44" t="s">
        <v>31</v>
      </c>
      <c r="D49" s="45" t="s">
        <v>20</v>
      </c>
      <c r="E49" s="48">
        <f>Dados!$I60</f>
        <v>34</v>
      </c>
      <c r="F49" s="48" t="str">
        <f>Dados!$J60</f>
        <v>Moderado</v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>
      <c r="A50" s="42">
        <v>46121.0</v>
      </c>
      <c r="B50" s="43">
        <v>0.5208333333333334</v>
      </c>
      <c r="C50" s="47" t="s">
        <v>33</v>
      </c>
      <c r="D50" s="45" t="s">
        <v>16</v>
      </c>
      <c r="E50" s="48">
        <f>Dados!$I61</f>
        <v>40</v>
      </c>
      <c r="F50" s="48" t="str">
        <f>Dados!$J61</f>
        <v>Moderado</v>
      </c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42">
        <v>46121.0</v>
      </c>
      <c r="B51" s="43">
        <v>0.5208333333333334</v>
      </c>
      <c r="C51" s="47" t="s">
        <v>33</v>
      </c>
      <c r="D51" s="45" t="s">
        <v>20</v>
      </c>
      <c r="E51" s="48">
        <f>Dados!$I62</f>
        <v>35</v>
      </c>
      <c r="F51" s="48" t="str">
        <f>Dados!$J62</f>
        <v>Leve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>
      <c r="A52" s="42">
        <v>46121.0</v>
      </c>
      <c r="B52" s="43">
        <v>0.7708333333333334</v>
      </c>
      <c r="C52" s="44" t="s">
        <v>15</v>
      </c>
      <c r="D52" s="45" t="s">
        <v>16</v>
      </c>
      <c r="E52" s="48">
        <f>Dados!$I65</f>
        <v>36</v>
      </c>
      <c r="F52" s="48" t="str">
        <f>Dados!$J65</f>
        <v>Moderado</v>
      </c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42">
        <v>46121.0</v>
      </c>
      <c r="B53" s="43">
        <v>0.7708333333333334</v>
      </c>
      <c r="C53" s="44" t="s">
        <v>15</v>
      </c>
      <c r="D53" s="45" t="s">
        <v>20</v>
      </c>
      <c r="E53" s="48">
        <f>Dados!$I66</f>
        <v>40</v>
      </c>
      <c r="F53" s="48" t="str">
        <f>Dados!$J66</f>
        <v>Moderado</v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42">
        <v>46121.0</v>
      </c>
      <c r="B54" s="43">
        <v>0.7708333333333334</v>
      </c>
      <c r="C54" s="44" t="s">
        <v>25</v>
      </c>
      <c r="D54" s="45" t="s">
        <v>16</v>
      </c>
      <c r="E54" s="48">
        <f>Dados!$I67</f>
        <v>25</v>
      </c>
      <c r="F54" s="48" t="str">
        <f>Dados!$J67</f>
        <v>Moderado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42">
        <v>46121.0</v>
      </c>
      <c r="B55" s="43">
        <v>0.7708333333333334</v>
      </c>
      <c r="C55" s="44" t="s">
        <v>25</v>
      </c>
      <c r="D55" s="45" t="s">
        <v>20</v>
      </c>
      <c r="E55" s="48">
        <f>Dados!$I68</f>
        <v>41</v>
      </c>
      <c r="F55" s="48" t="str">
        <f>Dados!$J68</f>
        <v>Intenso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42">
        <v>46121.0</v>
      </c>
      <c r="B56" s="43">
        <v>0.7708333333333334</v>
      </c>
      <c r="C56" s="44" t="s">
        <v>27</v>
      </c>
      <c r="D56" s="45" t="s">
        <v>16</v>
      </c>
      <c r="E56" s="48">
        <f>Dados!$I69</f>
        <v>29</v>
      </c>
      <c r="F56" s="48" t="str">
        <f>Dados!$J69</f>
        <v>Leve</v>
      </c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>
      <c r="A57" s="42">
        <v>46121.0</v>
      </c>
      <c r="B57" s="43">
        <v>0.7708333333333334</v>
      </c>
      <c r="C57" s="44" t="s">
        <v>27</v>
      </c>
      <c r="D57" s="45" t="s">
        <v>20</v>
      </c>
      <c r="E57" s="48">
        <f>Dados!$I70</f>
        <v>40</v>
      </c>
      <c r="F57" s="48" t="str">
        <f>Dados!$J70</f>
        <v>Intenso</v>
      </c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42">
        <v>46121.0</v>
      </c>
      <c r="B58" s="43">
        <v>0.7708333333333334</v>
      </c>
      <c r="C58" s="44" t="s">
        <v>31</v>
      </c>
      <c r="D58" s="45" t="s">
        <v>16</v>
      </c>
      <c r="E58" s="48">
        <f>Dados!$I71</f>
        <v>38</v>
      </c>
      <c r="F58" s="48" t="str">
        <f>Dados!$J71</f>
        <v>Intenso</v>
      </c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42">
        <v>46121.0</v>
      </c>
      <c r="B59" s="43">
        <v>0.7708333333333334</v>
      </c>
      <c r="C59" s="44" t="s">
        <v>31</v>
      </c>
      <c r="D59" s="45" t="s">
        <v>20</v>
      </c>
      <c r="E59" s="48">
        <f>Dados!$I72</f>
        <v>40</v>
      </c>
      <c r="F59" s="48" t="str">
        <f>Dados!$J72</f>
        <v>Intenso</v>
      </c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>
      <c r="A60" s="42">
        <v>46121.0</v>
      </c>
      <c r="B60" s="43">
        <v>0.7708333333333334</v>
      </c>
      <c r="C60" s="47" t="s">
        <v>33</v>
      </c>
      <c r="D60" s="45" t="s">
        <v>16</v>
      </c>
      <c r="E60" s="48">
        <f>Dados!$I73</f>
        <v>46</v>
      </c>
      <c r="F60" s="48" t="str">
        <f>Dados!$J73</f>
        <v>Intenso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>
      <c r="A61" s="42">
        <v>46121.0</v>
      </c>
      <c r="B61" s="43">
        <v>0.7708333333333334</v>
      </c>
      <c r="C61" s="47" t="s">
        <v>33</v>
      </c>
      <c r="D61" s="45" t="s">
        <v>20</v>
      </c>
      <c r="E61" s="48">
        <f>Dados!$I74</f>
        <v>39</v>
      </c>
      <c r="F61" s="48" t="str">
        <f>Dados!$J74</f>
        <v>Leve</v>
      </c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42">
        <v>46120.0</v>
      </c>
      <c r="B62" s="43">
        <v>0.3125</v>
      </c>
      <c r="C62" s="44" t="s">
        <v>15</v>
      </c>
      <c r="D62" s="45" t="s">
        <v>16</v>
      </c>
      <c r="E62" s="48">
        <f>Dados!$I78</f>
        <v>39</v>
      </c>
      <c r="F62" s="48" t="str">
        <f>Dados!$J78</f>
        <v>Moderado</v>
      </c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42">
        <v>46120.0</v>
      </c>
      <c r="B63" s="43">
        <v>0.3125</v>
      </c>
      <c r="C63" s="44" t="s">
        <v>15</v>
      </c>
      <c r="D63" s="45" t="s">
        <v>20</v>
      </c>
      <c r="E63" s="48">
        <f>Dados!$I79</f>
        <v>43</v>
      </c>
      <c r="F63" s="48" t="str">
        <f>Dados!$J79</f>
        <v>Intenso</v>
      </c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>
      <c r="A64" s="42">
        <v>46120.0</v>
      </c>
      <c r="B64" s="43">
        <v>0.3125</v>
      </c>
      <c r="C64" s="44" t="s">
        <v>25</v>
      </c>
      <c r="D64" s="45" t="s">
        <v>16</v>
      </c>
      <c r="E64" s="48">
        <f>Dados!$I80</f>
        <v>27</v>
      </c>
      <c r="F64" s="48" t="str">
        <f>Dados!$J80</f>
        <v>Moderado</v>
      </c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>
      <c r="A65" s="42">
        <v>46120.0</v>
      </c>
      <c r="B65" s="43">
        <v>0.3125</v>
      </c>
      <c r="C65" s="44" t="s">
        <v>25</v>
      </c>
      <c r="D65" s="45" t="s">
        <v>20</v>
      </c>
      <c r="E65" s="48">
        <f>Dados!$I81</f>
        <v>41</v>
      </c>
      <c r="F65" s="48" t="str">
        <f>Dados!$J81</f>
        <v>Intenso</v>
      </c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>
      <c r="A66" s="42">
        <v>46120.0</v>
      </c>
      <c r="B66" s="43">
        <v>0.3125</v>
      </c>
      <c r="C66" s="44" t="s">
        <v>27</v>
      </c>
      <c r="D66" s="45" t="s">
        <v>16</v>
      </c>
      <c r="E66" s="48">
        <f>Dados!$I82</f>
        <v>28</v>
      </c>
      <c r="F66" s="48" t="str">
        <f>Dados!$J82</f>
        <v>Leve</v>
      </c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42">
        <v>46120.0</v>
      </c>
      <c r="B67" s="43">
        <v>0.3125</v>
      </c>
      <c r="C67" s="44" t="s">
        <v>27</v>
      </c>
      <c r="D67" s="45" t="s">
        <v>20</v>
      </c>
      <c r="E67" s="48">
        <f>Dados!$I83</f>
        <v>40</v>
      </c>
      <c r="F67" s="48" t="str">
        <f>Dados!$J83</f>
        <v>Intenso</v>
      </c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42">
        <v>46120.0</v>
      </c>
      <c r="B68" s="43">
        <v>0.3125</v>
      </c>
      <c r="C68" s="44" t="s">
        <v>31</v>
      </c>
      <c r="D68" s="45" t="s">
        <v>16</v>
      </c>
      <c r="E68" s="48">
        <f>Dados!$I84</f>
        <v>36</v>
      </c>
      <c r="F68" s="48" t="str">
        <f>Dados!$J84</f>
        <v>Leve</v>
      </c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>
      <c r="A69" s="42">
        <v>46120.0</v>
      </c>
      <c r="B69" s="43">
        <v>0.3125</v>
      </c>
      <c r="C69" s="44" t="s">
        <v>31</v>
      </c>
      <c r="D69" s="45" t="s">
        <v>20</v>
      </c>
      <c r="E69" s="48">
        <f>Dados!$I85</f>
        <v>42</v>
      </c>
      <c r="F69" s="48" t="str">
        <f>Dados!$J85</f>
        <v>Intenso</v>
      </c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>
      <c r="A70" s="42">
        <v>46120.0</v>
      </c>
      <c r="B70" s="43">
        <v>0.3125</v>
      </c>
      <c r="C70" s="47" t="s">
        <v>33</v>
      </c>
      <c r="D70" s="45" t="s">
        <v>16</v>
      </c>
      <c r="E70" s="48">
        <f>Dados!$I86</f>
        <v>46</v>
      </c>
      <c r="F70" s="48" t="str">
        <f>Dados!$J86</f>
        <v>Intenso</v>
      </c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>
      <c r="A71" s="42">
        <v>46120.0</v>
      </c>
      <c r="B71" s="43">
        <v>0.3125</v>
      </c>
      <c r="C71" s="47" t="s">
        <v>33</v>
      </c>
      <c r="D71" s="45" t="s">
        <v>20</v>
      </c>
      <c r="E71" s="48">
        <f>Dados!$I87</f>
        <v>42</v>
      </c>
      <c r="F71" s="48" t="str">
        <f>Dados!$J87</f>
        <v>Moderado</v>
      </c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>
      <c r="A72" s="42">
        <v>46120.0</v>
      </c>
      <c r="B72" s="43">
        <v>0.5208333333333334</v>
      </c>
      <c r="C72" s="44" t="s">
        <v>15</v>
      </c>
      <c r="D72" s="45" t="s">
        <v>16</v>
      </c>
      <c r="E72" s="48">
        <f>Dados!$I90</f>
        <v>32</v>
      </c>
      <c r="F72" s="48" t="str">
        <f>Dados!$J90</f>
        <v>Leve</v>
      </c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42">
        <v>46120.0</v>
      </c>
      <c r="B73" s="43">
        <v>0.5208333333333334</v>
      </c>
      <c r="C73" s="44" t="s">
        <v>15</v>
      </c>
      <c r="D73" s="45" t="s">
        <v>20</v>
      </c>
      <c r="E73" s="48">
        <f>Dados!$I91</f>
        <v>38</v>
      </c>
      <c r="F73" s="48" t="str">
        <f>Dados!$J91</f>
        <v>Moderado</v>
      </c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>
      <c r="A74" s="42">
        <v>46120.0</v>
      </c>
      <c r="B74" s="43">
        <v>0.5208333333333334</v>
      </c>
      <c r="C74" s="44" t="s">
        <v>25</v>
      </c>
      <c r="D74" s="45" t="s">
        <v>16</v>
      </c>
      <c r="E74" s="48">
        <f>Dados!$I92</f>
        <v>23</v>
      </c>
      <c r="F74" s="48" t="str">
        <f>Dados!$J92</f>
        <v>Leve</v>
      </c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>
      <c r="A75" s="42">
        <v>46120.0</v>
      </c>
      <c r="B75" s="43">
        <v>0.5208333333333334</v>
      </c>
      <c r="C75" s="44" t="s">
        <v>25</v>
      </c>
      <c r="D75" s="45" t="s">
        <v>20</v>
      </c>
      <c r="E75" s="48">
        <f>Dados!$I93</f>
        <v>37</v>
      </c>
      <c r="F75" s="48" t="str">
        <f>Dados!$J93</f>
        <v>Intenso</v>
      </c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>
      <c r="A76" s="42">
        <v>46120.0</v>
      </c>
      <c r="B76" s="43">
        <v>0.5208333333333334</v>
      </c>
      <c r="C76" s="44" t="s">
        <v>27</v>
      </c>
      <c r="D76" s="45" t="s">
        <v>16</v>
      </c>
      <c r="E76" s="48">
        <f>Dados!$I94</f>
        <v>25</v>
      </c>
      <c r="F76" s="48" t="str">
        <f>Dados!$J94</f>
        <v>Leve</v>
      </c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>
      <c r="A77" s="42">
        <v>46120.0</v>
      </c>
      <c r="B77" s="43">
        <v>0.5208333333333334</v>
      </c>
      <c r="C77" s="44" t="s">
        <v>27</v>
      </c>
      <c r="D77" s="45" t="s">
        <v>20</v>
      </c>
      <c r="E77" s="48">
        <f>Dados!$I95</f>
        <v>37</v>
      </c>
      <c r="F77" s="48" t="str">
        <f>Dados!$J95</f>
        <v>Intenso</v>
      </c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42">
        <v>46120.0</v>
      </c>
      <c r="B78" s="43">
        <v>0.5208333333333334</v>
      </c>
      <c r="C78" s="44" t="s">
        <v>31</v>
      </c>
      <c r="D78" s="45" t="s">
        <v>16</v>
      </c>
      <c r="E78" s="48">
        <f>Dados!$I96</f>
        <v>32</v>
      </c>
      <c r="F78" s="48" t="str">
        <f>Dados!$J96</f>
        <v>Leve</v>
      </c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>
      <c r="A79" s="42">
        <v>46120.0</v>
      </c>
      <c r="B79" s="43">
        <v>0.5208333333333334</v>
      </c>
      <c r="C79" s="44" t="s">
        <v>31</v>
      </c>
      <c r="D79" s="45" t="s">
        <v>20</v>
      </c>
      <c r="E79" s="48">
        <f>Dados!$I97</f>
        <v>36</v>
      </c>
      <c r="F79" s="48" t="str">
        <f>Dados!$J97</f>
        <v>Moderado</v>
      </c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>
      <c r="A80" s="42">
        <v>46120.0</v>
      </c>
      <c r="B80" s="43">
        <v>0.5208333333333334</v>
      </c>
      <c r="C80" s="47" t="s">
        <v>33</v>
      </c>
      <c r="D80" s="45" t="s">
        <v>16</v>
      </c>
      <c r="E80" s="48">
        <f>Dados!$I98</f>
        <v>40</v>
      </c>
      <c r="F80" s="48" t="str">
        <f>Dados!$J98</f>
        <v>Moderado</v>
      </c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>
      <c r="A81" s="42">
        <v>46120.0</v>
      </c>
      <c r="B81" s="43">
        <v>0.5208333333333334</v>
      </c>
      <c r="C81" s="47" t="s">
        <v>33</v>
      </c>
      <c r="D81" s="45" t="s">
        <v>20</v>
      </c>
      <c r="E81" s="48">
        <f>Dados!$I99</f>
        <v>35</v>
      </c>
      <c r="F81" s="48" t="str">
        <f>Dados!$J99</f>
        <v>Leve</v>
      </c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>
      <c r="A82" s="42">
        <v>46120.0</v>
      </c>
      <c r="B82" s="43">
        <v>0.7708333333333334</v>
      </c>
      <c r="C82" s="44" t="s">
        <v>15</v>
      </c>
      <c r="D82" s="45" t="s">
        <v>16</v>
      </c>
      <c r="E82" s="48">
        <f>Dados!$I102</f>
        <v>36</v>
      </c>
      <c r="F82" s="48" t="str">
        <f>Dados!$J102</f>
        <v>Moderado</v>
      </c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>
      <c r="A83" s="42">
        <v>46120.0</v>
      </c>
      <c r="B83" s="43">
        <v>0.7708333333333334</v>
      </c>
      <c r="C83" s="44" t="s">
        <v>15</v>
      </c>
      <c r="D83" s="45" t="s">
        <v>20</v>
      </c>
      <c r="E83" s="48">
        <f>Dados!$I103</f>
        <v>40</v>
      </c>
      <c r="F83" s="48" t="str">
        <f>Dados!$J103</f>
        <v>Moderado</v>
      </c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>
      <c r="A84" s="42">
        <v>46120.0</v>
      </c>
      <c r="B84" s="43">
        <v>0.7708333333333334</v>
      </c>
      <c r="C84" s="44" t="s">
        <v>25</v>
      </c>
      <c r="D84" s="45" t="s">
        <v>16</v>
      </c>
      <c r="E84" s="48">
        <f>Dados!$I104</f>
        <v>25</v>
      </c>
      <c r="F84" s="48" t="str">
        <f>Dados!$J104</f>
        <v>Moderado</v>
      </c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>
      <c r="A85" s="42">
        <v>46120.0</v>
      </c>
      <c r="B85" s="43">
        <v>0.7708333333333334</v>
      </c>
      <c r="C85" s="44" t="s">
        <v>25</v>
      </c>
      <c r="D85" s="45" t="s">
        <v>20</v>
      </c>
      <c r="E85" s="48">
        <f>Dados!$I105</f>
        <v>41</v>
      </c>
      <c r="F85" s="48" t="str">
        <f>Dados!$J105</f>
        <v>Intenso</v>
      </c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>
      <c r="A86" s="42">
        <v>46120.0</v>
      </c>
      <c r="B86" s="43">
        <v>0.7708333333333334</v>
      </c>
      <c r="C86" s="44" t="s">
        <v>27</v>
      </c>
      <c r="D86" s="45" t="s">
        <v>16</v>
      </c>
      <c r="E86" s="48">
        <f>Dados!$I106</f>
        <v>27</v>
      </c>
      <c r="F86" s="48" t="str">
        <f>Dados!$J106</f>
        <v>Leve</v>
      </c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>
      <c r="A87" s="42">
        <v>46120.0</v>
      </c>
      <c r="B87" s="43">
        <v>0.7708333333333334</v>
      </c>
      <c r="C87" s="44" t="s">
        <v>27</v>
      </c>
      <c r="D87" s="45" t="s">
        <v>20</v>
      </c>
      <c r="E87" s="48">
        <f>Dados!$I107</f>
        <v>41</v>
      </c>
      <c r="F87" s="48" t="str">
        <f>Dados!$J107</f>
        <v>Intenso</v>
      </c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>
      <c r="A88" s="42">
        <v>46120.0</v>
      </c>
      <c r="B88" s="43">
        <v>0.7708333333333334</v>
      </c>
      <c r="C88" s="44" t="s">
        <v>31</v>
      </c>
      <c r="D88" s="45" t="s">
        <v>16</v>
      </c>
      <c r="E88" s="48">
        <f>Dados!$I108</f>
        <v>34</v>
      </c>
      <c r="F88" s="48" t="str">
        <f>Dados!$J108</f>
        <v>Moderado</v>
      </c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>
      <c r="A89" s="42">
        <v>46120.0</v>
      </c>
      <c r="B89" s="43">
        <v>0.7708333333333334</v>
      </c>
      <c r="C89" s="44" t="s">
        <v>31</v>
      </c>
      <c r="D89" s="45" t="s">
        <v>20</v>
      </c>
      <c r="E89" s="48">
        <f>Dados!$I109</f>
        <v>36</v>
      </c>
      <c r="F89" s="48" t="str">
        <f>Dados!$J109</f>
        <v>Intenso</v>
      </c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>
      <c r="A90" s="42">
        <v>46120.0</v>
      </c>
      <c r="B90" s="43">
        <v>0.7708333333333334</v>
      </c>
      <c r="C90" s="47" t="s">
        <v>33</v>
      </c>
      <c r="D90" s="45" t="s">
        <v>16</v>
      </c>
      <c r="E90" s="48">
        <f>Dados!$I110</f>
        <v>44</v>
      </c>
      <c r="F90" s="48" t="str">
        <f>Dados!$J110</f>
        <v>Moderado</v>
      </c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>
      <c r="A91" s="42">
        <v>46120.0</v>
      </c>
      <c r="B91" s="43">
        <v>0.7708333333333334</v>
      </c>
      <c r="C91" s="47" t="s">
        <v>33</v>
      </c>
      <c r="D91" s="45" t="s">
        <v>20</v>
      </c>
      <c r="E91" s="48">
        <f>Dados!$I111</f>
        <v>38</v>
      </c>
      <c r="F91" s="48" t="str">
        <f>Dados!$J111</f>
        <v>Leve</v>
      </c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>
      <c r="A92" s="42">
        <v>46119.0</v>
      </c>
      <c r="B92" s="43">
        <v>0.3125</v>
      </c>
      <c r="C92" s="44" t="s">
        <v>15</v>
      </c>
      <c r="D92" s="45" t="s">
        <v>16</v>
      </c>
      <c r="E92" s="48">
        <f>Dados!$I115</f>
        <v>39</v>
      </c>
      <c r="F92" s="48" t="str">
        <f>Dados!$J115</f>
        <v>Moderado</v>
      </c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>
      <c r="A93" s="42">
        <v>46119.0</v>
      </c>
      <c r="B93" s="43">
        <v>0.3125</v>
      </c>
      <c r="C93" s="44" t="s">
        <v>15</v>
      </c>
      <c r="D93" s="45" t="s">
        <v>20</v>
      </c>
      <c r="E93" s="48">
        <f>Dados!$I116</f>
        <v>43</v>
      </c>
      <c r="F93" s="48" t="str">
        <f>Dados!$J116</f>
        <v>Intenso</v>
      </c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>
      <c r="A94" s="42">
        <v>46119.0</v>
      </c>
      <c r="B94" s="43">
        <v>0.3125</v>
      </c>
      <c r="C94" s="44" t="s">
        <v>25</v>
      </c>
      <c r="D94" s="45" t="s">
        <v>16</v>
      </c>
      <c r="E94" s="48">
        <f>Dados!$I117</f>
        <v>27</v>
      </c>
      <c r="F94" s="48" t="str">
        <f>Dados!$J117</f>
        <v>Moderado</v>
      </c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>
      <c r="A95" s="42">
        <v>46119.0</v>
      </c>
      <c r="B95" s="43">
        <v>0.3125</v>
      </c>
      <c r="C95" s="44" t="s">
        <v>25</v>
      </c>
      <c r="D95" s="45" t="s">
        <v>20</v>
      </c>
      <c r="E95" s="48">
        <f>Dados!$I118</f>
        <v>41</v>
      </c>
      <c r="F95" s="48" t="str">
        <f>Dados!$J118</f>
        <v>Intenso</v>
      </c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>
      <c r="A96" s="42">
        <v>46119.0</v>
      </c>
      <c r="B96" s="43">
        <v>0.3125</v>
      </c>
      <c r="C96" s="44" t="s">
        <v>27</v>
      </c>
      <c r="D96" s="45" t="s">
        <v>16</v>
      </c>
      <c r="E96" s="48">
        <f>Dados!$I119</f>
        <v>30</v>
      </c>
      <c r="F96" s="48" t="str">
        <f>Dados!$J119</f>
        <v>Leve</v>
      </c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>
      <c r="A97" s="42">
        <v>46119.0</v>
      </c>
      <c r="B97" s="43">
        <v>0.3125</v>
      </c>
      <c r="C97" s="44" t="s">
        <v>27</v>
      </c>
      <c r="D97" s="45" t="s">
        <v>20</v>
      </c>
      <c r="E97" s="48">
        <f>Dados!$I120</f>
        <v>42</v>
      </c>
      <c r="F97" s="48" t="str">
        <f>Dados!$J120</f>
        <v>Intenso</v>
      </c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>
      <c r="A98" s="42">
        <v>46119.0</v>
      </c>
      <c r="B98" s="43">
        <v>0.3125</v>
      </c>
      <c r="C98" s="44" t="s">
        <v>31</v>
      </c>
      <c r="D98" s="45" t="s">
        <v>16</v>
      </c>
      <c r="E98" s="48">
        <f>Dados!$I121</f>
        <v>36</v>
      </c>
      <c r="F98" s="48" t="str">
        <f>Dados!$J121</f>
        <v>Leve</v>
      </c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>
      <c r="A99" s="42">
        <v>46119.0</v>
      </c>
      <c r="B99" s="43">
        <v>0.3125</v>
      </c>
      <c r="C99" s="44" t="s">
        <v>31</v>
      </c>
      <c r="D99" s="45" t="s">
        <v>20</v>
      </c>
      <c r="E99" s="48">
        <f>Dados!$I122</f>
        <v>42</v>
      </c>
      <c r="F99" s="48" t="str">
        <f>Dados!$J122</f>
        <v>Intenso</v>
      </c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>
      <c r="A100" s="42">
        <v>46119.0</v>
      </c>
      <c r="B100" s="43">
        <v>0.3125</v>
      </c>
      <c r="C100" s="47" t="s">
        <v>33</v>
      </c>
      <c r="D100" s="45" t="s">
        <v>16</v>
      </c>
      <c r="E100" s="48">
        <f>Dados!$I123</f>
        <v>48</v>
      </c>
      <c r="F100" s="48" t="str">
        <f>Dados!$J123</f>
        <v>Intenso</v>
      </c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>
      <c r="A101" s="42">
        <v>46119.0</v>
      </c>
      <c r="B101" s="43">
        <v>0.3125</v>
      </c>
      <c r="C101" s="47" t="s">
        <v>33</v>
      </c>
      <c r="D101" s="45" t="s">
        <v>20</v>
      </c>
      <c r="E101" s="48">
        <f>Dados!$I124</f>
        <v>44</v>
      </c>
      <c r="F101" s="48" t="str">
        <f>Dados!$J124</f>
        <v>Moderado</v>
      </c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>
      <c r="A102" s="42">
        <v>46119.0</v>
      </c>
      <c r="B102" s="43">
        <v>0.5208333333333334</v>
      </c>
      <c r="C102" s="44" t="s">
        <v>15</v>
      </c>
      <c r="D102" s="45" t="s">
        <v>16</v>
      </c>
      <c r="E102" s="48">
        <f>Dados!$I127</f>
        <v>32</v>
      </c>
      <c r="F102" s="48" t="str">
        <f>Dados!$J115</f>
        <v>Moderado</v>
      </c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>
      <c r="A103" s="42">
        <v>46119.0</v>
      </c>
      <c r="B103" s="43">
        <v>0.5208333333333334</v>
      </c>
      <c r="C103" s="44" t="s">
        <v>15</v>
      </c>
      <c r="D103" s="45" t="s">
        <v>20</v>
      </c>
      <c r="E103" s="48">
        <f>Dados!$I128</f>
        <v>38</v>
      </c>
      <c r="F103" s="48" t="str">
        <f>Dados!$J116</f>
        <v>Intenso</v>
      </c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>
      <c r="A104" s="42">
        <v>46119.0</v>
      </c>
      <c r="B104" s="43">
        <v>0.5208333333333334</v>
      </c>
      <c r="C104" s="44" t="s">
        <v>25</v>
      </c>
      <c r="D104" s="45" t="s">
        <v>16</v>
      </c>
      <c r="E104" s="48">
        <f>Dados!$I129</f>
        <v>23</v>
      </c>
      <c r="F104" s="48" t="str">
        <f>Dados!$J117</f>
        <v>Moderado</v>
      </c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>
      <c r="A105" s="42">
        <v>46119.0</v>
      </c>
      <c r="B105" s="43">
        <v>0.5208333333333334</v>
      </c>
      <c r="C105" s="44" t="s">
        <v>25</v>
      </c>
      <c r="D105" s="45" t="s">
        <v>20</v>
      </c>
      <c r="E105" s="48">
        <f>Dados!$I130</f>
        <v>37</v>
      </c>
      <c r="F105" s="48" t="str">
        <f>Dados!$J118</f>
        <v>Intenso</v>
      </c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>
      <c r="A106" s="42">
        <v>46119.0</v>
      </c>
      <c r="B106" s="43">
        <v>0.5208333333333334</v>
      </c>
      <c r="C106" s="44" t="s">
        <v>27</v>
      </c>
      <c r="D106" s="45" t="s">
        <v>16</v>
      </c>
      <c r="E106" s="48">
        <f>Dados!$I131</f>
        <v>24</v>
      </c>
      <c r="F106" s="48" t="str">
        <f>Dados!$J119</f>
        <v>Leve</v>
      </c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>
      <c r="A107" s="42">
        <v>46119.0</v>
      </c>
      <c r="B107" s="43">
        <v>0.5208333333333334</v>
      </c>
      <c r="C107" s="44" t="s">
        <v>27</v>
      </c>
      <c r="D107" s="45" t="s">
        <v>20</v>
      </c>
      <c r="E107" s="48">
        <f>Dados!$I132</f>
        <v>37</v>
      </c>
      <c r="F107" s="48" t="str">
        <f>Dados!$J120</f>
        <v>Intenso</v>
      </c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>
      <c r="A108" s="42">
        <v>46119.0</v>
      </c>
      <c r="B108" s="43">
        <v>0.5208333333333334</v>
      </c>
      <c r="C108" s="44" t="s">
        <v>31</v>
      </c>
      <c r="D108" s="45" t="s">
        <v>16</v>
      </c>
      <c r="E108" s="48">
        <f>Dados!$I133</f>
        <v>32</v>
      </c>
      <c r="F108" s="48" t="str">
        <f>Dados!$J121</f>
        <v>Leve</v>
      </c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>
      <c r="A109" s="42">
        <v>46119.0</v>
      </c>
      <c r="B109" s="43">
        <v>0.5208333333333334</v>
      </c>
      <c r="C109" s="44" t="s">
        <v>31</v>
      </c>
      <c r="D109" s="45" t="s">
        <v>20</v>
      </c>
      <c r="E109" s="48">
        <f>Dados!$I134</f>
        <v>36</v>
      </c>
      <c r="F109" s="48" t="str">
        <f>Dados!$J122</f>
        <v>Intenso</v>
      </c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>
      <c r="A110" s="42">
        <v>46119.0</v>
      </c>
      <c r="B110" s="43">
        <v>0.5208333333333334</v>
      </c>
      <c r="C110" s="47" t="s">
        <v>33</v>
      </c>
      <c r="D110" s="45" t="s">
        <v>16</v>
      </c>
      <c r="E110" s="48">
        <f>Dados!$I135</f>
        <v>40</v>
      </c>
      <c r="F110" s="48" t="str">
        <f>Dados!$J123</f>
        <v>Intenso</v>
      </c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>
      <c r="A111" s="42">
        <v>46119.0</v>
      </c>
      <c r="B111" s="43">
        <v>0.5208333333333334</v>
      </c>
      <c r="C111" s="47" t="s">
        <v>33</v>
      </c>
      <c r="D111" s="45" t="s">
        <v>20</v>
      </c>
      <c r="E111" s="48">
        <f>Dados!$I136</f>
        <v>35</v>
      </c>
      <c r="F111" s="48" t="str">
        <f>Dados!$J124</f>
        <v>Moderado</v>
      </c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>
      <c r="A112" s="42">
        <v>46119.0</v>
      </c>
      <c r="B112" s="43">
        <v>0.7708333333333334</v>
      </c>
      <c r="C112" s="44" t="s">
        <v>15</v>
      </c>
      <c r="D112" s="45" t="s">
        <v>16</v>
      </c>
      <c r="E112" s="48">
        <f>Dados!$I139</f>
        <v>36</v>
      </c>
      <c r="F112" s="48" t="str">
        <f>Dados!$J139</f>
        <v>Moderado</v>
      </c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>
      <c r="A113" s="42">
        <v>46119.0</v>
      </c>
      <c r="B113" s="43">
        <v>0.7708333333333334</v>
      </c>
      <c r="C113" s="44" t="s">
        <v>15</v>
      </c>
      <c r="D113" s="45" t="s">
        <v>20</v>
      </c>
      <c r="E113" s="48">
        <f>Dados!$I140</f>
        <v>40</v>
      </c>
      <c r="F113" s="48" t="str">
        <f>Dados!$J140</f>
        <v>Moderado</v>
      </c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>
      <c r="A114" s="42">
        <v>46119.0</v>
      </c>
      <c r="B114" s="43">
        <v>0.7708333333333334</v>
      </c>
      <c r="C114" s="44" t="s">
        <v>25</v>
      </c>
      <c r="D114" s="45" t="s">
        <v>16</v>
      </c>
      <c r="E114" s="48">
        <f>Dados!$I141</f>
        <v>25</v>
      </c>
      <c r="F114" s="48" t="str">
        <f>Dados!$J141</f>
        <v>Moderado</v>
      </c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>
      <c r="A115" s="42">
        <v>46119.0</v>
      </c>
      <c r="B115" s="43">
        <v>0.7708333333333334</v>
      </c>
      <c r="C115" s="44" t="s">
        <v>25</v>
      </c>
      <c r="D115" s="45" t="s">
        <v>20</v>
      </c>
      <c r="E115" s="48">
        <f>Dados!$I142</f>
        <v>39</v>
      </c>
      <c r="F115" s="48" t="str">
        <f>Dados!$J142</f>
        <v>Intenso</v>
      </c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>
      <c r="A116" s="42">
        <v>46119.0</v>
      </c>
      <c r="B116" s="43">
        <v>0.7708333333333334</v>
      </c>
      <c r="C116" s="44" t="s">
        <v>27</v>
      </c>
      <c r="D116" s="45" t="s">
        <v>16</v>
      </c>
      <c r="E116" s="48">
        <f>Dados!$I143</f>
        <v>28</v>
      </c>
      <c r="F116" s="48" t="str">
        <f>Dados!$J143</f>
        <v>Leve</v>
      </c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>
      <c r="A117" s="42">
        <v>46119.0</v>
      </c>
      <c r="B117" s="43">
        <v>0.7708333333333334</v>
      </c>
      <c r="C117" s="44" t="s">
        <v>27</v>
      </c>
      <c r="D117" s="45" t="s">
        <v>20</v>
      </c>
      <c r="E117" s="48">
        <f>Dados!$I144</f>
        <v>40</v>
      </c>
      <c r="F117" s="48" t="str">
        <f>Dados!$J144</f>
        <v>Intenso</v>
      </c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>
      <c r="A118" s="42">
        <v>46119.0</v>
      </c>
      <c r="B118" s="43">
        <v>0.7708333333333334</v>
      </c>
      <c r="C118" s="44" t="s">
        <v>31</v>
      </c>
      <c r="D118" s="45" t="s">
        <v>16</v>
      </c>
      <c r="E118" s="48">
        <f>Dados!$I145</f>
        <v>36</v>
      </c>
      <c r="F118" s="48" t="str">
        <f>Dados!$J145</f>
        <v>Moderado</v>
      </c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>
      <c r="A119" s="42">
        <v>46119.0</v>
      </c>
      <c r="B119" s="43">
        <v>0.7708333333333334</v>
      </c>
      <c r="C119" s="44" t="s">
        <v>31</v>
      </c>
      <c r="D119" s="45" t="s">
        <v>20</v>
      </c>
      <c r="E119" s="48">
        <f>Dados!$I146</f>
        <v>36</v>
      </c>
      <c r="F119" s="48" t="str">
        <f>Dados!$J146</f>
        <v>Moderado</v>
      </c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>
      <c r="A120" s="42">
        <v>46119.0</v>
      </c>
      <c r="B120" s="43">
        <v>0.7708333333333334</v>
      </c>
      <c r="C120" s="47" t="s">
        <v>33</v>
      </c>
      <c r="D120" s="45" t="s">
        <v>16</v>
      </c>
      <c r="E120" s="48">
        <f>Dados!$I147</f>
        <v>44</v>
      </c>
      <c r="F120" s="48" t="str">
        <f>Dados!$J147</f>
        <v>Intenso</v>
      </c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>
      <c r="A121" s="42">
        <v>46119.0</v>
      </c>
      <c r="B121" s="43">
        <v>0.7708333333333334</v>
      </c>
      <c r="C121" s="47" t="s">
        <v>33</v>
      </c>
      <c r="D121" s="45" t="s">
        <v>20</v>
      </c>
      <c r="E121" s="48">
        <f>Dados!$I148</f>
        <v>39</v>
      </c>
      <c r="F121" s="48" t="str">
        <f>Dados!$J148</f>
        <v>Leve</v>
      </c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>
      <c r="A122" s="42">
        <v>46118.0</v>
      </c>
      <c r="B122" s="43">
        <v>0.3125</v>
      </c>
      <c r="C122" s="44" t="s">
        <v>15</v>
      </c>
      <c r="D122" s="45" t="s">
        <v>16</v>
      </c>
      <c r="E122" s="48">
        <f>Dados!$I152</f>
        <v>37</v>
      </c>
      <c r="F122" s="48" t="str">
        <f>Dados!$J152</f>
        <v>Moderado</v>
      </c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>
      <c r="A123" s="42">
        <v>46118.0</v>
      </c>
      <c r="B123" s="43">
        <v>0.3125</v>
      </c>
      <c r="C123" s="44" t="s">
        <v>15</v>
      </c>
      <c r="D123" s="45" t="s">
        <v>20</v>
      </c>
      <c r="E123" s="48">
        <f>Dados!$I153</f>
        <v>43</v>
      </c>
      <c r="F123" s="48" t="str">
        <f>Dados!$J153</f>
        <v>Intenso</v>
      </c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>
      <c r="A124" s="42">
        <v>46118.0</v>
      </c>
      <c r="B124" s="43">
        <v>0.3125</v>
      </c>
      <c r="C124" s="44" t="s">
        <v>25</v>
      </c>
      <c r="D124" s="45" t="s">
        <v>16</v>
      </c>
      <c r="E124" s="48">
        <f>Dados!$I154</f>
        <v>25</v>
      </c>
      <c r="F124" s="48" t="str">
        <f>Dados!$J154</f>
        <v>Moderado</v>
      </c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>
      <c r="A125" s="42">
        <v>46118.0</v>
      </c>
      <c r="B125" s="43">
        <v>0.3125</v>
      </c>
      <c r="C125" s="44" t="s">
        <v>25</v>
      </c>
      <c r="D125" s="45" t="s">
        <v>20</v>
      </c>
      <c r="E125" s="48">
        <f>Dados!$I155</f>
        <v>41</v>
      </c>
      <c r="F125" s="48" t="str">
        <f>Dados!$J155</f>
        <v>Intenso</v>
      </c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>
      <c r="A126" s="42">
        <v>46118.0</v>
      </c>
      <c r="B126" s="43">
        <v>0.3125</v>
      </c>
      <c r="C126" s="44" t="s">
        <v>27</v>
      </c>
      <c r="D126" s="45" t="s">
        <v>16</v>
      </c>
      <c r="E126" s="48">
        <f>Dados!$I156</f>
        <v>27</v>
      </c>
      <c r="F126" s="48" t="str">
        <f>Dados!$J156</f>
        <v>Leve</v>
      </c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>
      <c r="A127" s="42">
        <v>46118.0</v>
      </c>
      <c r="B127" s="43">
        <v>0.3125</v>
      </c>
      <c r="C127" s="44" t="s">
        <v>27</v>
      </c>
      <c r="D127" s="45" t="s">
        <v>20</v>
      </c>
      <c r="E127" s="48">
        <f>Dados!$I157</f>
        <v>39</v>
      </c>
      <c r="F127" s="48" t="str">
        <f>Dados!$J157</f>
        <v>Intenso</v>
      </c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>
      <c r="A128" s="42">
        <v>46118.0</v>
      </c>
      <c r="B128" s="43">
        <v>0.3125</v>
      </c>
      <c r="C128" s="44" t="s">
        <v>31</v>
      </c>
      <c r="D128" s="45" t="s">
        <v>16</v>
      </c>
      <c r="E128" s="48">
        <f>Dados!$I158</f>
        <v>34</v>
      </c>
      <c r="F128" s="48" t="str">
        <f>Dados!$J158</f>
        <v>Leve</v>
      </c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>
      <c r="A129" s="42">
        <v>46118.0</v>
      </c>
      <c r="B129" s="43">
        <v>0.3125</v>
      </c>
      <c r="C129" s="44" t="s">
        <v>31</v>
      </c>
      <c r="D129" s="45" t="s">
        <v>20</v>
      </c>
      <c r="E129" s="48">
        <f>Dados!$I159</f>
        <v>42</v>
      </c>
      <c r="F129" s="48" t="str">
        <f>Dados!$J159</f>
        <v>Intenso</v>
      </c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>
      <c r="A130" s="42">
        <v>46118.0</v>
      </c>
      <c r="B130" s="43">
        <v>0.3125</v>
      </c>
      <c r="C130" s="47" t="s">
        <v>33</v>
      </c>
      <c r="D130" s="45" t="s">
        <v>16</v>
      </c>
      <c r="E130" s="48">
        <f>Dados!$I160</f>
        <v>46</v>
      </c>
      <c r="F130" s="48" t="str">
        <f>Dados!$J160</f>
        <v>Intenso</v>
      </c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42">
        <v>46118.0</v>
      </c>
      <c r="B131" s="43">
        <v>0.3125</v>
      </c>
      <c r="C131" s="47" t="s">
        <v>33</v>
      </c>
      <c r="D131" s="45" t="s">
        <v>20</v>
      </c>
      <c r="E131" s="48">
        <f>Dados!$I161</f>
        <v>40</v>
      </c>
      <c r="F131" s="48" t="str">
        <f>Dados!$J161</f>
        <v>Moderado</v>
      </c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42">
        <v>46118.0</v>
      </c>
      <c r="B132" s="43">
        <v>0.5208333333333334</v>
      </c>
      <c r="C132" s="44" t="s">
        <v>15</v>
      </c>
      <c r="D132" s="45" t="s">
        <v>16</v>
      </c>
      <c r="E132" s="48">
        <f>Dados!$I164</f>
        <v>32</v>
      </c>
      <c r="F132" s="48" t="str">
        <f>Dados!$J164</f>
        <v>Leve</v>
      </c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42">
        <v>46118.0</v>
      </c>
      <c r="B133" s="43">
        <v>0.5208333333333334</v>
      </c>
      <c r="C133" s="44" t="s">
        <v>15</v>
      </c>
      <c r="D133" s="45" t="s">
        <v>20</v>
      </c>
      <c r="E133" s="48">
        <f>Dados!$I165</f>
        <v>38</v>
      </c>
      <c r="F133" s="48" t="str">
        <f>Dados!$J165</f>
        <v>Moderado</v>
      </c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42">
        <v>46118.0</v>
      </c>
      <c r="B134" s="43">
        <v>0.5208333333333334</v>
      </c>
      <c r="C134" s="44" t="s">
        <v>25</v>
      </c>
      <c r="D134" s="45" t="s">
        <v>16</v>
      </c>
      <c r="E134" s="48">
        <f>Dados!$I166</f>
        <v>23</v>
      </c>
      <c r="F134" s="48" t="str">
        <f>Dados!$J166</f>
        <v>Leve</v>
      </c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42">
        <v>46118.0</v>
      </c>
      <c r="B135" s="43">
        <v>0.5208333333333334</v>
      </c>
      <c r="C135" s="44" t="s">
        <v>25</v>
      </c>
      <c r="D135" s="45" t="s">
        <v>20</v>
      </c>
      <c r="E135" s="48">
        <f>Dados!$I167</f>
        <v>37</v>
      </c>
      <c r="F135" s="48" t="str">
        <f>Dados!$J167</f>
        <v>Intenso</v>
      </c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>
      <c r="A136" s="42">
        <v>46118.0</v>
      </c>
      <c r="B136" s="43">
        <v>0.5208333333333334</v>
      </c>
      <c r="C136" s="44" t="s">
        <v>27</v>
      </c>
      <c r="D136" s="45" t="s">
        <v>16</v>
      </c>
      <c r="E136" s="48">
        <f>Dados!$I168</f>
        <v>23</v>
      </c>
      <c r="F136" s="48" t="str">
        <f>Dados!$J168</f>
        <v>Leve</v>
      </c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>
      <c r="A137" s="42">
        <v>46118.0</v>
      </c>
      <c r="B137" s="43">
        <v>0.5208333333333334</v>
      </c>
      <c r="C137" s="44" t="s">
        <v>27</v>
      </c>
      <c r="D137" s="45" t="s">
        <v>20</v>
      </c>
      <c r="E137" s="48">
        <f>Dados!$I169</f>
        <v>36</v>
      </c>
      <c r="F137" s="48" t="str">
        <f>Dados!$J169</f>
        <v>Intenso</v>
      </c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>
      <c r="A138" s="42">
        <v>46118.0</v>
      </c>
      <c r="B138" s="43">
        <v>0.5208333333333334</v>
      </c>
      <c r="C138" s="44" t="s">
        <v>31</v>
      </c>
      <c r="D138" s="45" t="s">
        <v>16</v>
      </c>
      <c r="E138" s="48">
        <f>Dados!$I170</f>
        <v>30</v>
      </c>
      <c r="F138" s="48" t="str">
        <f>Dados!$J170</f>
        <v>Leve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>
      <c r="A139" s="42">
        <v>46118.0</v>
      </c>
      <c r="B139" s="43">
        <v>0.5208333333333334</v>
      </c>
      <c r="C139" s="44" t="s">
        <v>31</v>
      </c>
      <c r="D139" s="45" t="s">
        <v>20</v>
      </c>
      <c r="E139" s="48">
        <f>Dados!$I171</f>
        <v>34</v>
      </c>
      <c r="F139" s="48" t="str">
        <f>Dados!$J171</f>
        <v>Moderado</v>
      </c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>
      <c r="A140" s="42">
        <v>46118.0</v>
      </c>
      <c r="B140" s="43">
        <v>0.5208333333333334</v>
      </c>
      <c r="C140" s="47" t="s">
        <v>33</v>
      </c>
      <c r="D140" s="45" t="s">
        <v>16</v>
      </c>
      <c r="E140" s="48">
        <f>Dados!$I172</f>
        <v>38</v>
      </c>
      <c r="F140" s="48" t="str">
        <f>Dados!$J172</f>
        <v>Moderado</v>
      </c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>
      <c r="A141" s="42">
        <v>46118.0</v>
      </c>
      <c r="B141" s="43">
        <v>0.5208333333333334</v>
      </c>
      <c r="C141" s="47" t="s">
        <v>33</v>
      </c>
      <c r="D141" s="45" t="s">
        <v>20</v>
      </c>
      <c r="E141" s="48">
        <f>Dados!$I173</f>
        <v>35</v>
      </c>
      <c r="F141" s="48" t="str">
        <f>Dados!$J173</f>
        <v>Leve</v>
      </c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>
      <c r="A142" s="42">
        <v>46118.0</v>
      </c>
      <c r="B142" s="43">
        <v>0.7708333333333334</v>
      </c>
      <c r="C142" s="44" t="s">
        <v>15</v>
      </c>
      <c r="D142" s="45" t="s">
        <v>16</v>
      </c>
      <c r="E142" s="48">
        <f>Dados!$I176</f>
        <v>35</v>
      </c>
      <c r="F142" s="48" t="str">
        <f>Dados!$J176</f>
        <v>Leve</v>
      </c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>
      <c r="A143" s="42">
        <v>46118.0</v>
      </c>
      <c r="B143" s="43">
        <v>0.7708333333333334</v>
      </c>
      <c r="C143" s="44" t="s">
        <v>15</v>
      </c>
      <c r="D143" s="45" t="s">
        <v>20</v>
      </c>
      <c r="E143" s="48">
        <f>Dados!$I177</f>
        <v>39</v>
      </c>
      <c r="F143" s="48" t="str">
        <f>Dados!$J177</f>
        <v>Moderado</v>
      </c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>
      <c r="A144" s="42">
        <v>46118.0</v>
      </c>
      <c r="B144" s="43">
        <v>0.7708333333333334</v>
      </c>
      <c r="C144" s="44" t="s">
        <v>25</v>
      </c>
      <c r="D144" s="45" t="s">
        <v>16</v>
      </c>
      <c r="E144" s="48">
        <f>Dados!$I178</f>
        <v>23</v>
      </c>
      <c r="F144" s="48" t="str">
        <f>Dados!$J178</f>
        <v>Leve</v>
      </c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>
      <c r="A145" s="42">
        <v>46118.0</v>
      </c>
      <c r="B145" s="43">
        <v>0.7708333333333334</v>
      </c>
      <c r="C145" s="44" t="s">
        <v>25</v>
      </c>
      <c r="D145" s="45" t="s">
        <v>20</v>
      </c>
      <c r="E145" s="48">
        <f>Dados!$I179</f>
        <v>39</v>
      </c>
      <c r="F145" s="48" t="str">
        <f>Dados!$J179</f>
        <v>Intenso</v>
      </c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>
      <c r="A146" s="42">
        <v>46118.0</v>
      </c>
      <c r="B146" s="43">
        <v>0.7708333333333334</v>
      </c>
      <c r="C146" s="44" t="s">
        <v>27</v>
      </c>
      <c r="D146" s="45" t="s">
        <v>16</v>
      </c>
      <c r="E146" s="48">
        <f>Dados!$I180</f>
        <v>27</v>
      </c>
      <c r="F146" s="48" t="str">
        <f>Dados!$J180</f>
        <v>Leve</v>
      </c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>
      <c r="A147" s="42">
        <v>46118.0</v>
      </c>
      <c r="B147" s="43">
        <v>0.7708333333333334</v>
      </c>
      <c r="C147" s="44" t="s">
        <v>27</v>
      </c>
      <c r="D147" s="45" t="s">
        <v>20</v>
      </c>
      <c r="E147" s="48">
        <f>Dados!$I181</f>
        <v>39</v>
      </c>
      <c r="F147" s="48" t="str">
        <f>Dados!$J181</f>
        <v>Intenso</v>
      </c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>
      <c r="A148" s="42">
        <v>46118.0</v>
      </c>
      <c r="B148" s="43">
        <v>0.7708333333333334</v>
      </c>
      <c r="C148" s="44" t="s">
        <v>31</v>
      </c>
      <c r="D148" s="45" t="s">
        <v>16</v>
      </c>
      <c r="E148" s="48">
        <f>Dados!$I182</f>
        <v>34</v>
      </c>
      <c r="F148" s="48" t="str">
        <f>Dados!$J182</f>
        <v>Moderado</v>
      </c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>
      <c r="A149" s="42">
        <v>46118.0</v>
      </c>
      <c r="B149" s="43">
        <v>0.7708333333333334</v>
      </c>
      <c r="C149" s="44" t="s">
        <v>31</v>
      </c>
      <c r="D149" s="45" t="s">
        <v>20</v>
      </c>
      <c r="E149" s="48">
        <f>Dados!$I183</f>
        <v>36</v>
      </c>
      <c r="F149" s="48" t="str">
        <f>Dados!$J183</f>
        <v>Moderado</v>
      </c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>
      <c r="A150" s="42">
        <v>46118.0</v>
      </c>
      <c r="B150" s="43">
        <v>0.7708333333333334</v>
      </c>
      <c r="C150" s="47" t="s">
        <v>33</v>
      </c>
      <c r="D150" s="45" t="s">
        <v>16</v>
      </c>
      <c r="E150" s="48">
        <f>Dados!$I184</f>
        <v>42</v>
      </c>
      <c r="F150" s="48" t="str">
        <f>Dados!$J184</f>
        <v>Moderado</v>
      </c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>
      <c r="A151" s="42">
        <v>46118.0</v>
      </c>
      <c r="B151" s="43">
        <v>0.7708333333333334</v>
      </c>
      <c r="C151" s="47" t="s">
        <v>33</v>
      </c>
      <c r="D151" s="45" t="s">
        <v>20</v>
      </c>
      <c r="E151" s="48">
        <f>Dados!$I185</f>
        <v>37</v>
      </c>
      <c r="F151" s="48" t="str">
        <f>Dados!$J185</f>
        <v>Leve</v>
      </c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>
      <c r="A152" s="42">
        <v>46117.0</v>
      </c>
      <c r="B152" s="43">
        <v>0.3125</v>
      </c>
      <c r="C152" s="44" t="s">
        <v>15</v>
      </c>
      <c r="D152" s="45" t="s">
        <v>16</v>
      </c>
      <c r="E152" s="48">
        <f>Dados!$I189</f>
        <v>28</v>
      </c>
      <c r="F152" s="48" t="str">
        <f>Dados!$J189</f>
        <v>Leve</v>
      </c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>
      <c r="A153" s="42">
        <v>46117.0</v>
      </c>
      <c r="B153" s="43">
        <v>0.3125</v>
      </c>
      <c r="C153" s="44" t="s">
        <v>15</v>
      </c>
      <c r="D153" s="45" t="s">
        <v>20</v>
      </c>
      <c r="E153" s="48">
        <f>Dados!$I190</f>
        <v>32</v>
      </c>
      <c r="F153" s="48" t="str">
        <f>Dados!$J190</f>
        <v>Leve</v>
      </c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>
      <c r="A154" s="42">
        <v>46117.0</v>
      </c>
      <c r="B154" s="43">
        <v>0.3125</v>
      </c>
      <c r="C154" s="44" t="s">
        <v>25</v>
      </c>
      <c r="D154" s="45" t="s">
        <v>16</v>
      </c>
      <c r="E154" s="48">
        <f>Dados!$I191</f>
        <v>21</v>
      </c>
      <c r="F154" s="48" t="str">
        <f>Dados!$J191</f>
        <v>Leve</v>
      </c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>
      <c r="A155" s="42">
        <v>46117.0</v>
      </c>
      <c r="B155" s="43">
        <v>0.3125</v>
      </c>
      <c r="C155" s="44" t="s">
        <v>25</v>
      </c>
      <c r="D155" s="45" t="s">
        <v>20</v>
      </c>
      <c r="E155" s="48">
        <f>Dados!$I192</f>
        <v>29</v>
      </c>
      <c r="F155" s="48" t="str">
        <f>Dados!$J192</f>
        <v>Leve</v>
      </c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>
      <c r="A156" s="42">
        <v>46117.0</v>
      </c>
      <c r="B156" s="43">
        <v>0.3125</v>
      </c>
      <c r="C156" s="44" t="s">
        <v>27</v>
      </c>
      <c r="D156" s="45" t="s">
        <v>16</v>
      </c>
      <c r="E156" s="48">
        <f>Dados!$I193</f>
        <v>21</v>
      </c>
      <c r="F156" s="48" t="str">
        <f>Dados!$J193</f>
        <v>Leve</v>
      </c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>
      <c r="A157" s="42">
        <v>46117.0</v>
      </c>
      <c r="B157" s="43">
        <v>0.3125</v>
      </c>
      <c r="C157" s="44" t="s">
        <v>27</v>
      </c>
      <c r="D157" s="45" t="s">
        <v>20</v>
      </c>
      <c r="E157" s="48">
        <f>Dados!$I194</f>
        <v>28</v>
      </c>
      <c r="F157" s="48" t="str">
        <f>Dados!$J194</f>
        <v>Leve</v>
      </c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>
      <c r="A158" s="42">
        <v>46117.0</v>
      </c>
      <c r="B158" s="43">
        <v>0.3125</v>
      </c>
      <c r="C158" s="44" t="s">
        <v>31</v>
      </c>
      <c r="D158" s="45" t="s">
        <v>16</v>
      </c>
      <c r="E158" s="48">
        <f>Dados!$I195</f>
        <v>27</v>
      </c>
      <c r="F158" s="48" t="str">
        <f>Dados!$J195</f>
        <v>Leve</v>
      </c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>
      <c r="A159" s="42">
        <v>46117.0</v>
      </c>
      <c r="B159" s="43">
        <v>0.3125</v>
      </c>
      <c r="C159" s="44" t="s">
        <v>31</v>
      </c>
      <c r="D159" s="45" t="s">
        <v>20</v>
      </c>
      <c r="E159" s="48">
        <f>Dados!$I196</f>
        <v>28</v>
      </c>
      <c r="F159" s="48" t="str">
        <f>Dados!$J196</f>
        <v>Leve</v>
      </c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>
      <c r="A160" s="42">
        <v>46117.0</v>
      </c>
      <c r="B160" s="43">
        <v>0.3125</v>
      </c>
      <c r="C160" s="47" t="s">
        <v>33</v>
      </c>
      <c r="D160" s="45" t="s">
        <v>16</v>
      </c>
      <c r="E160" s="48">
        <f>Dados!$I197</f>
        <v>31</v>
      </c>
      <c r="F160" s="48" t="str">
        <f>Dados!$J197</f>
        <v>Leve</v>
      </c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>
      <c r="A161" s="42">
        <v>46117.0</v>
      </c>
      <c r="B161" s="43">
        <v>0.3125</v>
      </c>
      <c r="C161" s="47" t="s">
        <v>33</v>
      </c>
      <c r="D161" s="45" t="s">
        <v>20</v>
      </c>
      <c r="E161" s="48">
        <f>Dados!$I198</f>
        <v>29</v>
      </c>
      <c r="F161" s="48" t="str">
        <f>Dados!$J198</f>
        <v>Leve</v>
      </c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>
      <c r="A162" s="42">
        <v>46117.0</v>
      </c>
      <c r="B162" s="43">
        <v>0.5208333333333334</v>
      </c>
      <c r="C162" s="44" t="s">
        <v>15</v>
      </c>
      <c r="D162" s="45" t="s">
        <v>16</v>
      </c>
      <c r="E162" s="48">
        <f>Dados!$I201</f>
        <v>28</v>
      </c>
      <c r="F162" s="48" t="str">
        <f>Dados!$J201</f>
        <v>Leve</v>
      </c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>
      <c r="A163" s="42">
        <v>46117.0</v>
      </c>
      <c r="B163" s="43">
        <v>0.5208333333333334</v>
      </c>
      <c r="C163" s="44" t="s">
        <v>15</v>
      </c>
      <c r="D163" s="45" t="s">
        <v>20</v>
      </c>
      <c r="E163" s="48">
        <f>Dados!$I202</f>
        <v>32</v>
      </c>
      <c r="F163" s="48" t="str">
        <f>Dados!$J202</f>
        <v>Leve</v>
      </c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>
      <c r="A164" s="42">
        <v>46117.0</v>
      </c>
      <c r="B164" s="43">
        <v>0.5208333333333334</v>
      </c>
      <c r="C164" s="44" t="s">
        <v>25</v>
      </c>
      <c r="D164" s="45" t="s">
        <v>16</v>
      </c>
      <c r="E164" s="48">
        <f>Dados!$I203</f>
        <v>21</v>
      </c>
      <c r="F164" s="48" t="str">
        <f>Dados!$J203</f>
        <v>Leve</v>
      </c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>
      <c r="A165" s="42">
        <v>46117.0</v>
      </c>
      <c r="B165" s="43">
        <v>0.5208333333333334</v>
      </c>
      <c r="C165" s="44" t="s">
        <v>25</v>
      </c>
      <c r="D165" s="45" t="s">
        <v>20</v>
      </c>
      <c r="E165" s="48">
        <f>Dados!$I204</f>
        <v>29</v>
      </c>
      <c r="F165" s="48" t="str">
        <f>Dados!$J204</f>
        <v>Leve</v>
      </c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>
      <c r="A166" s="42">
        <v>46117.0</v>
      </c>
      <c r="B166" s="43">
        <v>0.5208333333333334</v>
      </c>
      <c r="C166" s="44" t="s">
        <v>27</v>
      </c>
      <c r="D166" s="45" t="s">
        <v>16</v>
      </c>
      <c r="E166" s="48">
        <f>Dados!$I205</f>
        <v>21</v>
      </c>
      <c r="F166" s="48" t="str">
        <f>Dados!$J205</f>
        <v>Leve</v>
      </c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>
      <c r="A167" s="42">
        <v>46117.0</v>
      </c>
      <c r="B167" s="43">
        <v>0.5208333333333334</v>
      </c>
      <c r="C167" s="44" t="s">
        <v>27</v>
      </c>
      <c r="D167" s="45" t="s">
        <v>20</v>
      </c>
      <c r="E167" s="48">
        <f>Dados!$I206</f>
        <v>28</v>
      </c>
      <c r="F167" s="48" t="str">
        <f>Dados!$J206</f>
        <v>Leve</v>
      </c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>
      <c r="A168" s="42">
        <v>46117.0</v>
      </c>
      <c r="B168" s="43">
        <v>0.5208333333333334</v>
      </c>
      <c r="C168" s="44" t="s">
        <v>31</v>
      </c>
      <c r="D168" s="45" t="s">
        <v>16</v>
      </c>
      <c r="E168" s="48">
        <f>Dados!$I207</f>
        <v>27</v>
      </c>
      <c r="F168" s="48" t="str">
        <f>Dados!$J207</f>
        <v>Leve</v>
      </c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>
      <c r="A169" s="42">
        <v>46117.0</v>
      </c>
      <c r="B169" s="43">
        <v>0.5208333333333334</v>
      </c>
      <c r="C169" s="44" t="s">
        <v>31</v>
      </c>
      <c r="D169" s="45" t="s">
        <v>20</v>
      </c>
      <c r="E169" s="48">
        <f>Dados!$I208</f>
        <v>29</v>
      </c>
      <c r="F169" s="48" t="str">
        <f>Dados!$J208</f>
        <v>Leve</v>
      </c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>
      <c r="A170" s="42">
        <v>46117.0</v>
      </c>
      <c r="B170" s="43">
        <v>0.5208333333333334</v>
      </c>
      <c r="C170" s="47" t="s">
        <v>33</v>
      </c>
      <c r="D170" s="45" t="s">
        <v>16</v>
      </c>
      <c r="E170" s="48">
        <f>Dados!$I209</f>
        <v>31</v>
      </c>
      <c r="F170" s="48" t="str">
        <f>Dados!$J209</f>
        <v>Leve</v>
      </c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>
      <c r="A171" s="42">
        <v>46117.0</v>
      </c>
      <c r="B171" s="43">
        <v>0.5208333333333334</v>
      </c>
      <c r="C171" s="47" t="s">
        <v>33</v>
      </c>
      <c r="D171" s="45" t="s">
        <v>20</v>
      </c>
      <c r="E171" s="48">
        <f>Dados!$I210</f>
        <v>30</v>
      </c>
      <c r="F171" s="48" t="str">
        <f>Dados!$J210</f>
        <v>Leve</v>
      </c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>
      <c r="A172" s="42">
        <v>46117.0</v>
      </c>
      <c r="B172" s="43">
        <v>0.7708333333333334</v>
      </c>
      <c r="C172" s="44" t="s">
        <v>15</v>
      </c>
      <c r="D172" s="45" t="s">
        <v>16</v>
      </c>
      <c r="E172" s="48">
        <f>Dados!$I213</f>
        <v>30</v>
      </c>
      <c r="F172" s="48" t="str">
        <f>Dados!$J213</f>
        <v>Leve</v>
      </c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>
      <c r="A173" s="42">
        <v>46117.0</v>
      </c>
      <c r="B173" s="43">
        <v>0.7708333333333334</v>
      </c>
      <c r="C173" s="44" t="s">
        <v>15</v>
      </c>
      <c r="D173" s="45" t="s">
        <v>20</v>
      </c>
      <c r="E173" s="48">
        <f>Dados!$I214</f>
        <v>32</v>
      </c>
      <c r="F173" s="48" t="str">
        <f>Dados!$J214</f>
        <v>Leve</v>
      </c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>
      <c r="A174" s="42">
        <v>46117.0</v>
      </c>
      <c r="B174" s="43">
        <v>0.7708333333333334</v>
      </c>
      <c r="C174" s="44" t="s">
        <v>25</v>
      </c>
      <c r="D174" s="45" t="s">
        <v>16</v>
      </c>
      <c r="E174" s="48">
        <f>Dados!$I215</f>
        <v>23</v>
      </c>
      <c r="F174" s="48" t="str">
        <f>Dados!$J215</f>
        <v>Leve</v>
      </c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>
      <c r="A175" s="42">
        <v>46117.0</v>
      </c>
      <c r="B175" s="43">
        <v>0.7708333333333334</v>
      </c>
      <c r="C175" s="44" t="s">
        <v>25</v>
      </c>
      <c r="D175" s="45" t="s">
        <v>20</v>
      </c>
      <c r="E175" s="48">
        <f>Dados!$I216</f>
        <v>31</v>
      </c>
      <c r="F175" s="48" t="str">
        <f>Dados!$J216</f>
        <v>Moderado</v>
      </c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>
      <c r="A176" s="42">
        <v>46117.0</v>
      </c>
      <c r="B176" s="43">
        <v>0.7708333333333334</v>
      </c>
      <c r="C176" s="44" t="s">
        <v>27</v>
      </c>
      <c r="D176" s="45" t="s">
        <v>16</v>
      </c>
      <c r="E176" s="48">
        <f>Dados!$I217</f>
        <v>21</v>
      </c>
      <c r="F176" s="48" t="str">
        <f>Dados!$J217</f>
        <v>Leve</v>
      </c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>
      <c r="A177" s="42">
        <v>46117.0</v>
      </c>
      <c r="B177" s="43">
        <v>0.7708333333333334</v>
      </c>
      <c r="C177" s="44" t="s">
        <v>27</v>
      </c>
      <c r="D177" s="45" t="s">
        <v>20</v>
      </c>
      <c r="E177" s="48">
        <f>Dados!$I218</f>
        <v>30</v>
      </c>
      <c r="F177" s="48" t="str">
        <f>Dados!$J218</f>
        <v>Moderado</v>
      </c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>
      <c r="A178" s="42">
        <v>46117.0</v>
      </c>
      <c r="B178" s="43">
        <v>0.7708333333333334</v>
      </c>
      <c r="C178" s="44" t="s">
        <v>31</v>
      </c>
      <c r="D178" s="45" t="s">
        <v>16</v>
      </c>
      <c r="E178" s="48">
        <f>Dados!$I219</f>
        <v>29</v>
      </c>
      <c r="F178" s="48" t="str">
        <f>Dados!$J219</f>
        <v>Leve</v>
      </c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>
      <c r="A179" s="42">
        <v>46117.0</v>
      </c>
      <c r="B179" s="43">
        <v>0.7708333333333334</v>
      </c>
      <c r="C179" s="44" t="s">
        <v>31</v>
      </c>
      <c r="D179" s="45" t="s">
        <v>20</v>
      </c>
      <c r="E179" s="48">
        <f>Dados!$I220</f>
        <v>32</v>
      </c>
      <c r="F179" s="48" t="str">
        <f>Dados!$J220</f>
        <v>Moderado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>
      <c r="A180" s="42">
        <v>46117.0</v>
      </c>
      <c r="B180" s="43">
        <v>0.7708333333333334</v>
      </c>
      <c r="C180" s="47" t="s">
        <v>33</v>
      </c>
      <c r="D180" s="45" t="s">
        <v>16</v>
      </c>
      <c r="E180" s="48">
        <f>Dados!$I221</f>
        <v>36</v>
      </c>
      <c r="F180" s="48" t="str">
        <f>Dados!$J221</f>
        <v>Leve</v>
      </c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>
      <c r="A181" s="42">
        <v>46117.0</v>
      </c>
      <c r="B181" s="43">
        <v>0.7708333333333334</v>
      </c>
      <c r="C181" s="47" t="s">
        <v>33</v>
      </c>
      <c r="D181" s="45" t="s">
        <v>20</v>
      </c>
      <c r="E181" s="48">
        <f>Dados!$I222</f>
        <v>32</v>
      </c>
      <c r="F181" s="48" t="str">
        <f>Dados!$J222</f>
        <v>Leve</v>
      </c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>
      <c r="A182" s="42">
        <v>46116.0</v>
      </c>
      <c r="B182" s="43">
        <v>0.3125</v>
      </c>
      <c r="C182" s="44" t="s">
        <v>15</v>
      </c>
      <c r="D182" s="45" t="s">
        <v>16</v>
      </c>
      <c r="E182" s="48">
        <f>Dados!$I226</f>
        <v>28</v>
      </c>
      <c r="F182" s="48" t="str">
        <f>Dados!$J226</f>
        <v>Leve</v>
      </c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>
      <c r="A183" s="42">
        <v>46116.0</v>
      </c>
      <c r="B183" s="43">
        <v>0.3125</v>
      </c>
      <c r="C183" s="44" t="s">
        <v>15</v>
      </c>
      <c r="D183" s="45" t="s">
        <v>20</v>
      </c>
      <c r="E183" s="48">
        <f>Dados!$I227</f>
        <v>34</v>
      </c>
      <c r="F183" s="48" t="str">
        <f>Dados!$J227</f>
        <v>Leve</v>
      </c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>
      <c r="A184" s="42">
        <v>46116.0</v>
      </c>
      <c r="B184" s="43">
        <v>0.3125</v>
      </c>
      <c r="C184" s="44" t="s">
        <v>25</v>
      </c>
      <c r="D184" s="45" t="s">
        <v>16</v>
      </c>
      <c r="E184" s="48">
        <f>Dados!$I228</f>
        <v>23</v>
      </c>
      <c r="F184" s="48" t="str">
        <f>Dados!$J228</f>
        <v>Leve</v>
      </c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>
      <c r="A185" s="42">
        <v>46116.0</v>
      </c>
      <c r="B185" s="43">
        <v>0.3125</v>
      </c>
      <c r="C185" s="44" t="s">
        <v>25</v>
      </c>
      <c r="D185" s="45" t="s">
        <v>20</v>
      </c>
      <c r="E185" s="48">
        <f>Dados!$I229</f>
        <v>31</v>
      </c>
      <c r="F185" s="48" t="str">
        <f>Dados!$J229</f>
        <v>Leve</v>
      </c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>
      <c r="A186" s="42">
        <v>46116.0</v>
      </c>
      <c r="B186" s="43">
        <v>0.3125</v>
      </c>
      <c r="C186" s="44" t="s">
        <v>27</v>
      </c>
      <c r="D186" s="45" t="s">
        <v>16</v>
      </c>
      <c r="E186" s="48">
        <f>Dados!$I230</f>
        <v>21</v>
      </c>
      <c r="F186" s="48" t="str">
        <f>Dados!$J230</f>
        <v>Leve</v>
      </c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>
      <c r="A187" s="42">
        <v>46116.0</v>
      </c>
      <c r="B187" s="43">
        <v>0.3125</v>
      </c>
      <c r="C187" s="44" t="s">
        <v>27</v>
      </c>
      <c r="D187" s="45" t="s">
        <v>20</v>
      </c>
      <c r="E187" s="48">
        <f>Dados!$I231</f>
        <v>30</v>
      </c>
      <c r="F187" s="48" t="str">
        <f>Dados!$J231</f>
        <v>Moderado</v>
      </c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>
      <c r="A188" s="42">
        <v>46116.0</v>
      </c>
      <c r="B188" s="43">
        <v>0.3125</v>
      </c>
      <c r="C188" s="44" t="s">
        <v>31</v>
      </c>
      <c r="D188" s="45" t="s">
        <v>16</v>
      </c>
      <c r="E188" s="48">
        <f>Dados!$I232</f>
        <v>27</v>
      </c>
      <c r="F188" s="48" t="str">
        <f>Dados!$J232</f>
        <v>Leve</v>
      </c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>
      <c r="A189" s="42">
        <v>46116.0</v>
      </c>
      <c r="B189" s="43">
        <v>0.3125</v>
      </c>
      <c r="C189" s="44" t="s">
        <v>31</v>
      </c>
      <c r="D189" s="45" t="s">
        <v>20</v>
      </c>
      <c r="E189" s="48">
        <f>Dados!$I233</f>
        <v>31</v>
      </c>
      <c r="F189" s="48" t="str">
        <f>Dados!$J233</f>
        <v>Leve</v>
      </c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>
      <c r="A190" s="42">
        <v>46116.0</v>
      </c>
      <c r="B190" s="43">
        <v>0.3125</v>
      </c>
      <c r="C190" s="47" t="s">
        <v>33</v>
      </c>
      <c r="D190" s="45" t="s">
        <v>16</v>
      </c>
      <c r="E190" s="48">
        <f>Dados!$I234</f>
        <v>36</v>
      </c>
      <c r="F190" s="48" t="str">
        <f>Dados!$J234</f>
        <v>Moderado</v>
      </c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>
      <c r="A191" s="42">
        <v>46116.0</v>
      </c>
      <c r="B191" s="43">
        <v>0.3125</v>
      </c>
      <c r="C191" s="47" t="s">
        <v>33</v>
      </c>
      <c r="D191" s="45" t="s">
        <v>20</v>
      </c>
      <c r="E191" s="48">
        <f>Dados!$I235</f>
        <v>30</v>
      </c>
      <c r="F191" s="48" t="str">
        <f>Dados!$J235</f>
        <v>Leve</v>
      </c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>
      <c r="A192" s="42">
        <v>46116.0</v>
      </c>
      <c r="B192" s="43">
        <v>0.5208333333333334</v>
      </c>
      <c r="C192" s="44" t="s">
        <v>15</v>
      </c>
      <c r="D192" s="45" t="s">
        <v>16</v>
      </c>
      <c r="E192" s="48">
        <f>Dados!$I238</f>
        <v>30</v>
      </c>
      <c r="F192" s="48" t="str">
        <f>Dados!$J238</f>
        <v>Leve</v>
      </c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>
      <c r="A193" s="42">
        <v>46116.0</v>
      </c>
      <c r="B193" s="43">
        <v>0.5208333333333334</v>
      </c>
      <c r="C193" s="44" t="s">
        <v>15</v>
      </c>
      <c r="D193" s="45" t="s">
        <v>20</v>
      </c>
      <c r="E193" s="48">
        <f>Dados!$I239</f>
        <v>36</v>
      </c>
      <c r="F193" s="48" t="str">
        <f>Dados!$J239</f>
        <v>Moderado</v>
      </c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>
      <c r="A194" s="42">
        <v>46116.0</v>
      </c>
      <c r="B194" s="43">
        <v>0.5208333333333334</v>
      </c>
      <c r="C194" s="44" t="s">
        <v>25</v>
      </c>
      <c r="D194" s="45" t="s">
        <v>16</v>
      </c>
      <c r="E194" s="48">
        <f>Dados!$I240</f>
        <v>21</v>
      </c>
      <c r="F194" s="48" t="str">
        <f>Dados!$J240</f>
        <v>Leve</v>
      </c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>
      <c r="A195" s="42">
        <v>46116.0</v>
      </c>
      <c r="B195" s="43">
        <v>0.5208333333333334</v>
      </c>
      <c r="C195" s="44" t="s">
        <v>25</v>
      </c>
      <c r="D195" s="45" t="s">
        <v>20</v>
      </c>
      <c r="E195" s="48">
        <f>Dados!$I241</f>
        <v>37</v>
      </c>
      <c r="F195" s="48" t="str">
        <f>Dados!$J241</f>
        <v>Moderado</v>
      </c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>
      <c r="A196" s="42">
        <v>46116.0</v>
      </c>
      <c r="B196" s="43">
        <v>0.5208333333333334</v>
      </c>
      <c r="C196" s="44" t="s">
        <v>27</v>
      </c>
      <c r="D196" s="45" t="s">
        <v>16</v>
      </c>
      <c r="E196" s="48">
        <f>Dados!$I242</f>
        <v>25</v>
      </c>
      <c r="F196" s="48" t="str">
        <f>Dados!$J242</f>
        <v>Leve</v>
      </c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>
      <c r="A197" s="42">
        <v>46116.0</v>
      </c>
      <c r="B197" s="43">
        <v>0.5208333333333334</v>
      </c>
      <c r="C197" s="44" t="s">
        <v>27</v>
      </c>
      <c r="D197" s="45" t="s">
        <v>20</v>
      </c>
      <c r="E197" s="48">
        <f>Dados!$I243</f>
        <v>38</v>
      </c>
      <c r="F197" s="48" t="str">
        <f>Dados!$J243</f>
        <v>Intenso</v>
      </c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>
      <c r="A198" s="42">
        <v>46116.0</v>
      </c>
      <c r="B198" s="43">
        <v>0.5208333333333334</v>
      </c>
      <c r="C198" s="44" t="s">
        <v>31</v>
      </c>
      <c r="D198" s="45" t="s">
        <v>16</v>
      </c>
      <c r="E198" s="48">
        <f>Dados!$I244</f>
        <v>29</v>
      </c>
      <c r="F198" s="48" t="str">
        <f>Dados!$J244</f>
        <v>Leve</v>
      </c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>
      <c r="A199" s="42">
        <v>46116.0</v>
      </c>
      <c r="B199" s="43">
        <v>0.5208333333333334</v>
      </c>
      <c r="C199" s="44" t="s">
        <v>31</v>
      </c>
      <c r="D199" s="45" t="s">
        <v>20</v>
      </c>
      <c r="E199" s="48">
        <f>Dados!$I245</f>
        <v>32</v>
      </c>
      <c r="F199" s="48" t="str">
        <f>Dados!$J245</f>
        <v>Moderado</v>
      </c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>
      <c r="A200" s="42">
        <v>46116.0</v>
      </c>
      <c r="B200" s="43">
        <v>0.5208333333333334</v>
      </c>
      <c r="C200" s="47" t="s">
        <v>33</v>
      </c>
      <c r="D200" s="45" t="s">
        <v>16</v>
      </c>
      <c r="E200" s="48">
        <f>Dados!$I246</f>
        <v>38</v>
      </c>
      <c r="F200" s="48" t="str">
        <f>Dados!$J246</f>
        <v>Moderado</v>
      </c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>
      <c r="A201" s="42">
        <v>46116.0</v>
      </c>
      <c r="B201" s="43">
        <v>0.5208333333333334</v>
      </c>
      <c r="C201" s="47" t="s">
        <v>33</v>
      </c>
      <c r="D201" s="45" t="s">
        <v>20</v>
      </c>
      <c r="E201" s="48">
        <f>Dados!$I247</f>
        <v>32</v>
      </c>
      <c r="F201" s="48" t="str">
        <f>Dados!$J247</f>
        <v>Leve</v>
      </c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>
      <c r="A202" s="42">
        <v>46116.0</v>
      </c>
      <c r="B202" s="43">
        <v>0.7708333333333334</v>
      </c>
      <c r="C202" s="44" t="s">
        <v>15</v>
      </c>
      <c r="D202" s="45" t="s">
        <v>16</v>
      </c>
      <c r="E202" s="48">
        <f>Dados!$I250</f>
        <v>30</v>
      </c>
      <c r="F202" s="48" t="str">
        <f>Dados!$J250</f>
        <v>Leve</v>
      </c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>
      <c r="A203" s="42">
        <v>46116.0</v>
      </c>
      <c r="B203" s="43">
        <v>0.7708333333333334</v>
      </c>
      <c r="C203" s="44" t="s">
        <v>15</v>
      </c>
      <c r="D203" s="45" t="s">
        <v>20</v>
      </c>
      <c r="E203" s="48">
        <f>Dados!$I251</f>
        <v>32</v>
      </c>
      <c r="F203" s="48" t="str">
        <f>Dados!$J251</f>
        <v>Leve</v>
      </c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>
      <c r="A204" s="42">
        <v>46116.0</v>
      </c>
      <c r="B204" s="43">
        <v>0.7708333333333334</v>
      </c>
      <c r="C204" s="44" t="s">
        <v>25</v>
      </c>
      <c r="D204" s="45" t="s">
        <v>16</v>
      </c>
      <c r="E204" s="48">
        <f>Dados!$I252</f>
        <v>23</v>
      </c>
      <c r="F204" s="48" t="str">
        <f>Dados!$J252</f>
        <v>Leve</v>
      </c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>
      <c r="A205" s="42">
        <v>46116.0</v>
      </c>
      <c r="B205" s="43">
        <v>0.7708333333333334</v>
      </c>
      <c r="C205" s="44" t="s">
        <v>25</v>
      </c>
      <c r="D205" s="45" t="s">
        <v>20</v>
      </c>
      <c r="E205" s="48">
        <f>Dados!$I253</f>
        <v>33</v>
      </c>
      <c r="F205" s="48" t="str">
        <f>Dados!$J253</f>
        <v>Moderado</v>
      </c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>
      <c r="A206" s="42">
        <v>46116.0</v>
      </c>
      <c r="B206" s="43">
        <v>0.7708333333333334</v>
      </c>
      <c r="C206" s="44" t="s">
        <v>27</v>
      </c>
      <c r="D206" s="45" t="s">
        <v>16</v>
      </c>
      <c r="E206" s="48">
        <f>Dados!$I254</f>
        <v>23</v>
      </c>
      <c r="F206" s="48" t="str">
        <f>Dados!$J254</f>
        <v>Leve</v>
      </c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>
      <c r="A207" s="42">
        <v>46116.0</v>
      </c>
      <c r="B207" s="43">
        <v>0.7708333333333334</v>
      </c>
      <c r="C207" s="44" t="s">
        <v>27</v>
      </c>
      <c r="D207" s="45" t="s">
        <v>20</v>
      </c>
      <c r="E207" s="48">
        <f>Dados!$I255</f>
        <v>32</v>
      </c>
      <c r="F207" s="48" t="str">
        <f>Dados!$J255</f>
        <v>Moderado</v>
      </c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>
      <c r="A208" s="42">
        <v>46116.0</v>
      </c>
      <c r="B208" s="43">
        <v>0.7708333333333334</v>
      </c>
      <c r="C208" s="44" t="s">
        <v>31</v>
      </c>
      <c r="D208" s="45" t="s">
        <v>16</v>
      </c>
      <c r="E208" s="48">
        <f>Dados!$I256</f>
        <v>31</v>
      </c>
      <c r="F208" s="48" t="str">
        <f>Dados!$J256</f>
        <v>Leve</v>
      </c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>
      <c r="A209" s="42">
        <v>46116.0</v>
      </c>
      <c r="B209" s="43">
        <v>0.7708333333333334</v>
      </c>
      <c r="C209" s="44" t="s">
        <v>31</v>
      </c>
      <c r="D209" s="45" t="s">
        <v>20</v>
      </c>
      <c r="E209" s="48">
        <f>Dados!$I257</f>
        <v>34</v>
      </c>
      <c r="F209" s="48" t="str">
        <f>Dados!$J257</f>
        <v>Moderado</v>
      </c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>
      <c r="A210" s="42">
        <v>46116.0</v>
      </c>
      <c r="B210" s="43">
        <v>0.7708333333333334</v>
      </c>
      <c r="C210" s="47" t="s">
        <v>33</v>
      </c>
      <c r="D210" s="45" t="s">
        <v>16</v>
      </c>
      <c r="E210" s="48">
        <f>Dados!$I258</f>
        <v>38</v>
      </c>
      <c r="F210" s="48" t="str">
        <f>Dados!$J258</f>
        <v>Moderado</v>
      </c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>
      <c r="A211" s="42">
        <v>46116.0</v>
      </c>
      <c r="B211" s="43">
        <v>0.7708333333333334</v>
      </c>
      <c r="C211" s="47" t="s">
        <v>33</v>
      </c>
      <c r="D211" s="45" t="s">
        <v>20</v>
      </c>
      <c r="E211" s="48">
        <f>Dados!$I259</f>
        <v>34</v>
      </c>
      <c r="F211" s="48" t="str">
        <f>Dados!$J259</f>
        <v>Leve</v>
      </c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>
      <c r="A212" s="42">
        <v>46115.0</v>
      </c>
      <c r="B212" s="43">
        <v>0.3125</v>
      </c>
      <c r="C212" s="44" t="s">
        <v>15</v>
      </c>
      <c r="D212" s="45" t="s">
        <v>16</v>
      </c>
      <c r="E212" s="48">
        <f>Dados!$I263</f>
        <v>28</v>
      </c>
      <c r="F212" s="48" t="str">
        <f>Dados!$J263</f>
        <v>Leve</v>
      </c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>
      <c r="A213" s="42">
        <v>46115.0</v>
      </c>
      <c r="B213" s="43">
        <v>0.3125</v>
      </c>
      <c r="C213" s="44" t="s">
        <v>15</v>
      </c>
      <c r="D213" s="45" t="s">
        <v>20</v>
      </c>
      <c r="E213" s="48">
        <f>Dados!$I264</f>
        <v>32</v>
      </c>
      <c r="F213" s="48" t="str">
        <f>Dados!$J264</f>
        <v>Leve</v>
      </c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>
      <c r="A214" s="42">
        <v>46115.0</v>
      </c>
      <c r="B214" s="43">
        <v>0.3125</v>
      </c>
      <c r="C214" s="44" t="s">
        <v>25</v>
      </c>
      <c r="D214" s="45" t="s">
        <v>16</v>
      </c>
      <c r="E214" s="48">
        <f>Dados!$I265</f>
        <v>21</v>
      </c>
      <c r="F214" s="48" t="str">
        <f>Dados!$J265</f>
        <v>Leve</v>
      </c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>
      <c r="A215" s="42">
        <v>46115.0</v>
      </c>
      <c r="B215" s="43">
        <v>0.3125</v>
      </c>
      <c r="C215" s="44" t="s">
        <v>25</v>
      </c>
      <c r="D215" s="45" t="s">
        <v>20</v>
      </c>
      <c r="E215" s="48">
        <f>Dados!$I266</f>
        <v>29</v>
      </c>
      <c r="F215" s="48" t="str">
        <f>Dados!$J266</f>
        <v>Leve</v>
      </c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>
      <c r="A216" s="42">
        <v>46115.0</v>
      </c>
      <c r="B216" s="43">
        <v>0.3125</v>
      </c>
      <c r="C216" s="44" t="s">
        <v>27</v>
      </c>
      <c r="D216" s="45" t="s">
        <v>16</v>
      </c>
      <c r="E216" s="48">
        <f>Dados!$I267</f>
        <v>21</v>
      </c>
      <c r="F216" s="48" t="str">
        <f>Dados!$J267</f>
        <v>Leve</v>
      </c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42">
        <v>46115.0</v>
      </c>
      <c r="B217" s="43">
        <v>0.3125</v>
      </c>
      <c r="C217" s="44" t="s">
        <v>27</v>
      </c>
      <c r="D217" s="45" t="s">
        <v>20</v>
      </c>
      <c r="E217" s="48">
        <f>Dados!$I268</f>
        <v>28</v>
      </c>
      <c r="F217" s="48" t="str">
        <f>Dados!$J268</f>
        <v>Leve</v>
      </c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A218" s="42">
        <v>46115.0</v>
      </c>
      <c r="B218" s="43">
        <v>0.3125</v>
      </c>
      <c r="C218" s="44" t="s">
        <v>31</v>
      </c>
      <c r="D218" s="45" t="s">
        <v>16</v>
      </c>
      <c r="E218" s="48">
        <f>Dados!$I269</f>
        <v>27</v>
      </c>
      <c r="F218" s="48" t="str">
        <f>Dados!$J269</f>
        <v>Leve</v>
      </c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42">
        <v>46115.0</v>
      </c>
      <c r="B219" s="43">
        <v>0.3125</v>
      </c>
      <c r="C219" s="44" t="s">
        <v>31</v>
      </c>
      <c r="D219" s="45" t="s">
        <v>20</v>
      </c>
      <c r="E219" s="48">
        <f>Dados!$I270</f>
        <v>28</v>
      </c>
      <c r="F219" s="48" t="str">
        <f>Dados!$J270</f>
        <v>Leve</v>
      </c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42">
        <v>46115.0</v>
      </c>
      <c r="B220" s="43">
        <v>0.3125</v>
      </c>
      <c r="C220" s="47" t="s">
        <v>33</v>
      </c>
      <c r="D220" s="45" t="s">
        <v>16</v>
      </c>
      <c r="E220" s="48">
        <f>Dados!$I271</f>
        <v>31</v>
      </c>
      <c r="F220" s="48" t="str">
        <f>Dados!$J271</f>
        <v>Leve</v>
      </c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42">
        <v>46115.0</v>
      </c>
      <c r="B221" s="43">
        <v>0.3125</v>
      </c>
      <c r="C221" s="47" t="s">
        <v>33</v>
      </c>
      <c r="D221" s="45" t="s">
        <v>20</v>
      </c>
      <c r="E221" s="48">
        <f>Dados!$I272</f>
        <v>29</v>
      </c>
      <c r="F221" s="48" t="str">
        <f>Dados!$J272</f>
        <v>Leve</v>
      </c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>
      <c r="A222" s="42">
        <v>46115.0</v>
      </c>
      <c r="B222" s="43">
        <v>0.5208333333333334</v>
      </c>
      <c r="C222" s="44" t="s">
        <v>15</v>
      </c>
      <c r="D222" s="45" t="s">
        <v>16</v>
      </c>
      <c r="E222" s="48">
        <f>Dados!$I275</f>
        <v>28</v>
      </c>
      <c r="F222" s="48" t="str">
        <f>Dados!$J275</f>
        <v>Leve</v>
      </c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>
      <c r="A223" s="42">
        <v>46115.0</v>
      </c>
      <c r="B223" s="43">
        <v>0.5208333333333334</v>
      </c>
      <c r="C223" s="44" t="s">
        <v>15</v>
      </c>
      <c r="D223" s="45" t="s">
        <v>20</v>
      </c>
      <c r="E223" s="48">
        <f>Dados!$I276</f>
        <v>32</v>
      </c>
      <c r="F223" s="48" t="str">
        <f>Dados!$J276</f>
        <v>Leve</v>
      </c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>
      <c r="A224" s="42">
        <v>46115.0</v>
      </c>
      <c r="B224" s="43">
        <v>0.5208333333333334</v>
      </c>
      <c r="C224" s="44" t="s">
        <v>25</v>
      </c>
      <c r="D224" s="45" t="s">
        <v>16</v>
      </c>
      <c r="E224" s="48">
        <f>Dados!$I277</f>
        <v>21</v>
      </c>
      <c r="F224" s="48" t="str">
        <f>Dados!$J277</f>
        <v>Leve</v>
      </c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>
      <c r="A225" s="42">
        <v>46115.0</v>
      </c>
      <c r="B225" s="43">
        <v>0.5208333333333334</v>
      </c>
      <c r="C225" s="44" t="s">
        <v>25</v>
      </c>
      <c r="D225" s="45" t="s">
        <v>20</v>
      </c>
      <c r="E225" s="48">
        <f>Dados!$I278</f>
        <v>29</v>
      </c>
      <c r="F225" s="48" t="str">
        <f>Dados!$J278</f>
        <v>Leve</v>
      </c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>
      <c r="A226" s="42">
        <v>46115.0</v>
      </c>
      <c r="B226" s="43">
        <v>0.5208333333333334</v>
      </c>
      <c r="C226" s="44" t="s">
        <v>27</v>
      </c>
      <c r="D226" s="45" t="s">
        <v>16</v>
      </c>
      <c r="E226" s="48">
        <f>Dados!$I279</f>
        <v>21</v>
      </c>
      <c r="F226" s="48" t="str">
        <f>Dados!$J279</f>
        <v>Leve</v>
      </c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>
      <c r="A227" s="42">
        <v>46115.0</v>
      </c>
      <c r="B227" s="43">
        <v>0.5208333333333334</v>
      </c>
      <c r="C227" s="44" t="s">
        <v>27</v>
      </c>
      <c r="D227" s="45" t="s">
        <v>20</v>
      </c>
      <c r="E227" s="48">
        <f>Dados!$I280</f>
        <v>28</v>
      </c>
      <c r="F227" s="48" t="str">
        <f>Dados!$J280</f>
        <v>Leve</v>
      </c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>
      <c r="A228" s="42">
        <v>46115.0</v>
      </c>
      <c r="B228" s="43">
        <v>0.5208333333333334</v>
      </c>
      <c r="C228" s="44" t="s">
        <v>31</v>
      </c>
      <c r="D228" s="45" t="s">
        <v>16</v>
      </c>
      <c r="E228" s="48">
        <f>Dados!$I281</f>
        <v>27</v>
      </c>
      <c r="F228" s="48" t="str">
        <f>Dados!$J281</f>
        <v>Leve</v>
      </c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>
      <c r="A229" s="42">
        <v>46115.0</v>
      </c>
      <c r="B229" s="43">
        <v>0.5208333333333334</v>
      </c>
      <c r="C229" s="44" t="s">
        <v>31</v>
      </c>
      <c r="D229" s="45" t="s">
        <v>20</v>
      </c>
      <c r="E229" s="48">
        <f>Dados!$I282</f>
        <v>29</v>
      </c>
      <c r="F229" s="48" t="str">
        <f>Dados!$J282</f>
        <v>Leve</v>
      </c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>
      <c r="A230" s="42">
        <v>46115.0</v>
      </c>
      <c r="B230" s="43">
        <v>0.5208333333333334</v>
      </c>
      <c r="C230" s="47" t="s">
        <v>33</v>
      </c>
      <c r="D230" s="45" t="s">
        <v>16</v>
      </c>
      <c r="E230" s="48">
        <f>Dados!$I283</f>
        <v>31</v>
      </c>
      <c r="F230" s="48" t="str">
        <f>Dados!$J283</f>
        <v>Leve</v>
      </c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>
      <c r="A231" s="42">
        <v>46115.0</v>
      </c>
      <c r="B231" s="43">
        <v>0.5208333333333334</v>
      </c>
      <c r="C231" s="47" t="s">
        <v>33</v>
      </c>
      <c r="D231" s="45" t="s">
        <v>20</v>
      </c>
      <c r="E231" s="48">
        <f>Dados!$I284</f>
        <v>30</v>
      </c>
      <c r="F231" s="48" t="str">
        <f>Dados!$J284</f>
        <v>Leve</v>
      </c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>
      <c r="A232" s="42">
        <v>46115.0</v>
      </c>
      <c r="B232" s="43">
        <v>0.7708333333333334</v>
      </c>
      <c r="C232" s="44" t="s">
        <v>15</v>
      </c>
      <c r="D232" s="45" t="s">
        <v>16</v>
      </c>
      <c r="E232" s="48">
        <f>Dados!$I287</f>
        <v>30</v>
      </c>
      <c r="F232" s="48" t="str">
        <f>Dados!$J287</f>
        <v>Leve</v>
      </c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>
      <c r="A233" s="42">
        <v>46115.0</v>
      </c>
      <c r="B233" s="43">
        <v>0.7708333333333334</v>
      </c>
      <c r="C233" s="44" t="s">
        <v>15</v>
      </c>
      <c r="D233" s="45" t="s">
        <v>20</v>
      </c>
      <c r="E233" s="48">
        <f>Dados!$I288</f>
        <v>32</v>
      </c>
      <c r="F233" s="48" t="str">
        <f>Dados!$J288</f>
        <v>Leve</v>
      </c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>
      <c r="A234" s="42">
        <v>46115.0</v>
      </c>
      <c r="B234" s="43">
        <v>0.7708333333333334</v>
      </c>
      <c r="C234" s="44" t="s">
        <v>25</v>
      </c>
      <c r="D234" s="45" t="s">
        <v>16</v>
      </c>
      <c r="E234" s="48">
        <f>Dados!$I289</f>
        <v>23</v>
      </c>
      <c r="F234" s="48" t="str">
        <f>Dados!$J289</f>
        <v>Leve</v>
      </c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>
      <c r="A235" s="42">
        <v>46115.0</v>
      </c>
      <c r="B235" s="43">
        <v>0.7708333333333334</v>
      </c>
      <c r="C235" s="44" t="s">
        <v>25</v>
      </c>
      <c r="D235" s="45" t="s">
        <v>20</v>
      </c>
      <c r="E235" s="48">
        <f>Dados!$I290</f>
        <v>31</v>
      </c>
      <c r="F235" s="48" t="str">
        <f>Dados!$J290</f>
        <v>Moderado</v>
      </c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>
      <c r="A236" s="42">
        <v>46115.0</v>
      </c>
      <c r="B236" s="43">
        <v>0.7708333333333334</v>
      </c>
      <c r="C236" s="44" t="s">
        <v>27</v>
      </c>
      <c r="D236" s="45" t="s">
        <v>16</v>
      </c>
      <c r="E236" s="48">
        <f>Dados!$I291</f>
        <v>23</v>
      </c>
      <c r="F236" s="48" t="str">
        <f>Dados!$J291</f>
        <v>Leve</v>
      </c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>
      <c r="A237" s="42">
        <v>46115.0</v>
      </c>
      <c r="B237" s="43">
        <v>0.7708333333333334</v>
      </c>
      <c r="C237" s="44" t="s">
        <v>27</v>
      </c>
      <c r="D237" s="45" t="s">
        <v>20</v>
      </c>
      <c r="E237" s="48">
        <f>Dados!$I292</f>
        <v>30</v>
      </c>
      <c r="F237" s="48" t="str">
        <f>Dados!$J292</f>
        <v>Moderado</v>
      </c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>
      <c r="A238" s="42">
        <v>46115.0</v>
      </c>
      <c r="B238" s="43">
        <v>0.7708333333333334</v>
      </c>
      <c r="C238" s="44" t="s">
        <v>31</v>
      </c>
      <c r="D238" s="45" t="s">
        <v>16</v>
      </c>
      <c r="E238" s="48">
        <f>Dados!$I293</f>
        <v>29</v>
      </c>
      <c r="F238" s="48" t="str">
        <f>Dados!$J293</f>
        <v>Leve</v>
      </c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>
      <c r="A239" s="42">
        <v>46115.0</v>
      </c>
      <c r="B239" s="43">
        <v>0.7708333333333334</v>
      </c>
      <c r="C239" s="44" t="s">
        <v>31</v>
      </c>
      <c r="D239" s="45" t="s">
        <v>20</v>
      </c>
      <c r="E239" s="48">
        <f>Dados!$I294</f>
        <v>32</v>
      </c>
      <c r="F239" s="48" t="str">
        <f>Dados!$J294</f>
        <v>Moderado</v>
      </c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>
      <c r="A240" s="42">
        <v>46115.0</v>
      </c>
      <c r="B240" s="43">
        <v>0.7708333333333334</v>
      </c>
      <c r="C240" s="47" t="s">
        <v>33</v>
      </c>
      <c r="D240" s="45" t="s">
        <v>16</v>
      </c>
      <c r="E240" s="48">
        <f>Dados!$I295</f>
        <v>36</v>
      </c>
      <c r="F240" s="48" t="str">
        <f>Dados!$J295</f>
        <v>Leve</v>
      </c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>
      <c r="A241" s="42">
        <v>46115.0</v>
      </c>
      <c r="B241" s="43">
        <v>0.7708333333333334</v>
      </c>
      <c r="C241" s="47" t="s">
        <v>33</v>
      </c>
      <c r="D241" s="45" t="s">
        <v>20</v>
      </c>
      <c r="E241" s="48">
        <f>Dados!$I296</f>
        <v>32</v>
      </c>
      <c r="F241" s="48" t="str">
        <f>Dados!$J296</f>
        <v>Leve</v>
      </c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>
      <c r="A242" s="42">
        <v>46114.0</v>
      </c>
      <c r="B242" s="43">
        <v>0.3125</v>
      </c>
      <c r="C242" s="44" t="s">
        <v>15</v>
      </c>
      <c r="D242" s="45" t="s">
        <v>16</v>
      </c>
      <c r="E242" s="48">
        <f>Dados!$I300</f>
        <v>36</v>
      </c>
      <c r="F242" s="48" t="str">
        <f>Dados!$J300</f>
        <v>Moderado</v>
      </c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>
      <c r="A243" s="42">
        <v>46114.0</v>
      </c>
      <c r="B243" s="43">
        <v>0.3125</v>
      </c>
      <c r="C243" s="44" t="s">
        <v>15</v>
      </c>
      <c r="D243" s="45" t="s">
        <v>20</v>
      </c>
      <c r="E243" s="48">
        <f>Dados!$I301</f>
        <v>42</v>
      </c>
      <c r="F243" s="48" t="str">
        <f>Dados!$J301</f>
        <v>Intenso</v>
      </c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>
      <c r="A244" s="42">
        <v>46114.0</v>
      </c>
      <c r="B244" s="43">
        <v>0.3125</v>
      </c>
      <c r="C244" s="44" t="s">
        <v>25</v>
      </c>
      <c r="D244" s="45" t="s">
        <v>16</v>
      </c>
      <c r="E244" s="48">
        <f>Dados!$I302</f>
        <v>27</v>
      </c>
      <c r="F244" s="48" t="str">
        <f>Dados!$J302</f>
        <v>Moderado</v>
      </c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42">
        <v>46114.0</v>
      </c>
      <c r="B245" s="43">
        <v>0.3125</v>
      </c>
      <c r="C245" s="44" t="s">
        <v>25</v>
      </c>
      <c r="D245" s="45" t="s">
        <v>20</v>
      </c>
      <c r="E245" s="48">
        <f>Dados!$I303</f>
        <v>41</v>
      </c>
      <c r="F245" s="48" t="str">
        <f>Dados!$J303</f>
        <v>Intenso</v>
      </c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>
      <c r="A246" s="42">
        <v>46114.0</v>
      </c>
      <c r="B246" s="43">
        <v>0.3125</v>
      </c>
      <c r="C246" s="44" t="s">
        <v>27</v>
      </c>
      <c r="D246" s="45" t="s">
        <v>16</v>
      </c>
      <c r="E246" s="48">
        <f>Dados!$I304</f>
        <v>28</v>
      </c>
      <c r="F246" s="48" t="str">
        <f>Dados!$J304</f>
        <v>Leve</v>
      </c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>
      <c r="A247" s="42">
        <v>46114.0</v>
      </c>
      <c r="B247" s="43">
        <v>0.3125</v>
      </c>
      <c r="C247" s="44" t="s">
        <v>27</v>
      </c>
      <c r="D247" s="45" t="s">
        <v>20</v>
      </c>
      <c r="E247" s="48">
        <f>Dados!$I305</f>
        <v>42</v>
      </c>
      <c r="F247" s="48" t="str">
        <f>Dados!$J305</f>
        <v>Intenso</v>
      </c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>
      <c r="A248" s="42">
        <v>46114.0</v>
      </c>
      <c r="B248" s="43">
        <v>0.3125</v>
      </c>
      <c r="C248" s="44" t="s">
        <v>31</v>
      </c>
      <c r="D248" s="45" t="s">
        <v>16</v>
      </c>
      <c r="E248" s="48">
        <f>Dados!$I306</f>
        <v>36</v>
      </c>
      <c r="F248" s="48" t="str">
        <f>Dados!$J306</f>
        <v>Leve</v>
      </c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>
      <c r="A249" s="42">
        <v>46114.0</v>
      </c>
      <c r="B249" s="43">
        <v>0.3125</v>
      </c>
      <c r="C249" s="44" t="s">
        <v>31</v>
      </c>
      <c r="D249" s="45" t="s">
        <v>20</v>
      </c>
      <c r="E249" s="48">
        <f>Dados!$I307</f>
        <v>44</v>
      </c>
      <c r="F249" s="48" t="str">
        <f>Dados!$J307</f>
        <v>Intenso</v>
      </c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>
      <c r="A250" s="42">
        <v>46114.0</v>
      </c>
      <c r="B250" s="43">
        <v>0.3125</v>
      </c>
      <c r="C250" s="47" t="s">
        <v>33</v>
      </c>
      <c r="D250" s="45" t="s">
        <v>16</v>
      </c>
      <c r="E250" s="48">
        <f>Dados!$I308</f>
        <v>48</v>
      </c>
      <c r="F250" s="48" t="str">
        <f>Dados!$J308</f>
        <v>Intenso</v>
      </c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>
      <c r="A251" s="42">
        <v>46114.0</v>
      </c>
      <c r="B251" s="43">
        <v>0.3125</v>
      </c>
      <c r="C251" s="47" t="s">
        <v>33</v>
      </c>
      <c r="D251" s="45" t="s">
        <v>20</v>
      </c>
      <c r="E251" s="48">
        <f>Dados!$I309</f>
        <v>44</v>
      </c>
      <c r="F251" s="48" t="str">
        <f>Dados!$J309</f>
        <v>Intenso</v>
      </c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>
      <c r="A252" s="42">
        <v>46114.0</v>
      </c>
      <c r="B252" s="43">
        <v>0.5208333333333334</v>
      </c>
      <c r="C252" s="44" t="s">
        <v>15</v>
      </c>
      <c r="D252" s="45" t="s">
        <v>16</v>
      </c>
      <c r="E252" s="48">
        <f>Dados!$I312</f>
        <v>32</v>
      </c>
      <c r="F252" s="48" t="str">
        <f>Dados!$J312</f>
        <v>Leve</v>
      </c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>
      <c r="A253" s="42">
        <v>46114.0</v>
      </c>
      <c r="B253" s="43">
        <v>0.5208333333333334</v>
      </c>
      <c r="C253" s="44" t="s">
        <v>15</v>
      </c>
      <c r="D253" s="45" t="s">
        <v>20</v>
      </c>
      <c r="E253" s="48">
        <f>Dados!$I313</f>
        <v>40</v>
      </c>
      <c r="F253" s="48" t="str">
        <f>Dados!$J313</f>
        <v>Moderado</v>
      </c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>
      <c r="A254" s="42">
        <v>46114.0</v>
      </c>
      <c r="B254" s="43">
        <v>0.5208333333333334</v>
      </c>
      <c r="C254" s="44" t="s">
        <v>25</v>
      </c>
      <c r="D254" s="45" t="s">
        <v>16</v>
      </c>
      <c r="E254" s="48">
        <f>Dados!$I314</f>
        <v>23</v>
      </c>
      <c r="F254" s="48" t="str">
        <f>Dados!$J314</f>
        <v>Leve</v>
      </c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>
      <c r="A255" s="42">
        <v>46114.0</v>
      </c>
      <c r="B255" s="43">
        <v>0.5208333333333334</v>
      </c>
      <c r="C255" s="44" t="s">
        <v>25</v>
      </c>
      <c r="D255" s="45" t="s">
        <v>20</v>
      </c>
      <c r="E255" s="48">
        <f>Dados!$I315</f>
        <v>39</v>
      </c>
      <c r="F255" s="48" t="str">
        <f>Dados!$J315</f>
        <v>Intenso</v>
      </c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>
      <c r="A256" s="42">
        <v>46114.0</v>
      </c>
      <c r="B256" s="43">
        <v>0.5208333333333334</v>
      </c>
      <c r="C256" s="44" t="s">
        <v>27</v>
      </c>
      <c r="D256" s="45" t="s">
        <v>16</v>
      </c>
      <c r="E256" s="48">
        <f>Dados!$I316</f>
        <v>24</v>
      </c>
      <c r="F256" s="48" t="str">
        <f>Dados!$J316</f>
        <v>Leve</v>
      </c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>
      <c r="A257" s="42">
        <v>46114.0</v>
      </c>
      <c r="B257" s="43">
        <v>0.5208333333333334</v>
      </c>
      <c r="C257" s="44" t="s">
        <v>27</v>
      </c>
      <c r="D257" s="45" t="s">
        <v>20</v>
      </c>
      <c r="E257" s="48">
        <f>Dados!$I317</f>
        <v>37</v>
      </c>
      <c r="F257" s="48" t="str">
        <f>Dados!$J317</f>
        <v>Intenso</v>
      </c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>
      <c r="A258" s="42">
        <v>46114.0</v>
      </c>
      <c r="B258" s="43">
        <v>0.5208333333333334</v>
      </c>
      <c r="C258" s="44" t="s">
        <v>31</v>
      </c>
      <c r="D258" s="45" t="s">
        <v>16</v>
      </c>
      <c r="E258" s="48">
        <f>Dados!$I318</f>
        <v>30</v>
      </c>
      <c r="F258" s="48" t="str">
        <f>Dados!$J318</f>
        <v>Leve</v>
      </c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>
      <c r="A259" s="42">
        <v>46114.0</v>
      </c>
      <c r="B259" s="43">
        <v>0.5208333333333334</v>
      </c>
      <c r="C259" s="44" t="s">
        <v>31</v>
      </c>
      <c r="D259" s="45" t="s">
        <v>20</v>
      </c>
      <c r="E259" s="48">
        <f>Dados!$I319</f>
        <v>34</v>
      </c>
      <c r="F259" s="48" t="str">
        <f>Dados!$J319</f>
        <v>Moderado</v>
      </c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>
      <c r="A260" s="42">
        <v>46114.0</v>
      </c>
      <c r="B260" s="43">
        <v>0.5208333333333334</v>
      </c>
      <c r="C260" s="47" t="s">
        <v>33</v>
      </c>
      <c r="D260" s="45" t="s">
        <v>16</v>
      </c>
      <c r="E260" s="48">
        <f>Dados!$I320</f>
        <v>40</v>
      </c>
      <c r="F260" s="48" t="str">
        <f>Dados!$J320</f>
        <v>Moderado</v>
      </c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>
      <c r="A261" s="42">
        <v>46114.0</v>
      </c>
      <c r="B261" s="43">
        <v>0.5208333333333334</v>
      </c>
      <c r="C261" s="47" t="s">
        <v>33</v>
      </c>
      <c r="D261" s="45" t="s">
        <v>20</v>
      </c>
      <c r="E261" s="48">
        <f>Dados!$I321</f>
        <v>35</v>
      </c>
      <c r="F261" s="48" t="str">
        <f>Dados!$J321</f>
        <v>Leve</v>
      </c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>
      <c r="A262" s="42">
        <v>46114.0</v>
      </c>
      <c r="B262" s="43">
        <v>0.7708333333333334</v>
      </c>
      <c r="C262" s="44" t="s">
        <v>15</v>
      </c>
      <c r="D262" s="45" t="s">
        <v>16</v>
      </c>
      <c r="E262" s="48">
        <f>Dados!$I324</f>
        <v>36</v>
      </c>
      <c r="F262" s="48" t="str">
        <f>Dados!$J324</f>
        <v>Moderado</v>
      </c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>
      <c r="A263" s="42">
        <v>46114.0</v>
      </c>
      <c r="B263" s="43">
        <v>0.7708333333333334</v>
      </c>
      <c r="C263" s="44" t="s">
        <v>15</v>
      </c>
      <c r="D263" s="45" t="s">
        <v>20</v>
      </c>
      <c r="E263" s="48">
        <f>Dados!$I325</f>
        <v>40</v>
      </c>
      <c r="F263" s="48" t="str">
        <f>Dados!$J325</f>
        <v>Moderado</v>
      </c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>
      <c r="A264" s="42">
        <v>46114.0</v>
      </c>
      <c r="B264" s="43">
        <v>0.7708333333333334</v>
      </c>
      <c r="C264" s="44" t="s">
        <v>25</v>
      </c>
      <c r="D264" s="45" t="s">
        <v>16</v>
      </c>
      <c r="E264" s="48">
        <f>Dados!$I326</f>
        <v>25</v>
      </c>
      <c r="F264" s="48" t="str">
        <f>Dados!$J326</f>
        <v>Moderado</v>
      </c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>
      <c r="A265" s="42">
        <v>46114.0</v>
      </c>
      <c r="B265" s="43">
        <v>0.7708333333333334</v>
      </c>
      <c r="C265" s="44" t="s">
        <v>25</v>
      </c>
      <c r="D265" s="45" t="s">
        <v>20</v>
      </c>
      <c r="E265" s="48">
        <f>Dados!$I327</f>
        <v>41</v>
      </c>
      <c r="F265" s="48" t="str">
        <f>Dados!$J327</f>
        <v>Intenso</v>
      </c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>
      <c r="A266" s="42">
        <v>46114.0</v>
      </c>
      <c r="B266" s="43">
        <v>0.7708333333333334</v>
      </c>
      <c r="C266" s="44" t="s">
        <v>27</v>
      </c>
      <c r="D266" s="45" t="s">
        <v>16</v>
      </c>
      <c r="E266" s="48">
        <f>Dados!$I328</f>
        <v>29</v>
      </c>
      <c r="F266" s="48" t="str">
        <f>Dados!$J328</f>
        <v>Leve</v>
      </c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>
      <c r="A267" s="42">
        <v>46114.0</v>
      </c>
      <c r="B267" s="43">
        <v>0.7708333333333334</v>
      </c>
      <c r="C267" s="44" t="s">
        <v>27</v>
      </c>
      <c r="D267" s="45" t="s">
        <v>20</v>
      </c>
      <c r="E267" s="48">
        <f>Dados!$I329</f>
        <v>40</v>
      </c>
      <c r="F267" s="48" t="str">
        <f>Dados!$J329</f>
        <v>Intenso</v>
      </c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>
      <c r="A268" s="42">
        <v>46114.0</v>
      </c>
      <c r="B268" s="43">
        <v>0.7708333333333334</v>
      </c>
      <c r="C268" s="44" t="s">
        <v>31</v>
      </c>
      <c r="D268" s="45" t="s">
        <v>16</v>
      </c>
      <c r="E268" s="48">
        <f>Dados!$I330</f>
        <v>38</v>
      </c>
      <c r="F268" s="48" t="str">
        <f>Dados!$J330</f>
        <v>Intenso</v>
      </c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>
      <c r="A269" s="42">
        <v>46114.0</v>
      </c>
      <c r="B269" s="43">
        <v>0.7708333333333334</v>
      </c>
      <c r="C269" s="44" t="s">
        <v>31</v>
      </c>
      <c r="D269" s="45" t="s">
        <v>20</v>
      </c>
      <c r="E269" s="48">
        <f>Dados!$I331</f>
        <v>40</v>
      </c>
      <c r="F269" s="48" t="str">
        <f>Dados!$J331</f>
        <v>Intenso</v>
      </c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>
      <c r="A270" s="42">
        <v>46114.0</v>
      </c>
      <c r="B270" s="43">
        <v>0.7708333333333334</v>
      </c>
      <c r="C270" s="47" t="s">
        <v>33</v>
      </c>
      <c r="D270" s="45" t="s">
        <v>16</v>
      </c>
      <c r="E270" s="48">
        <f>Dados!$I332</f>
        <v>46</v>
      </c>
      <c r="F270" s="48" t="str">
        <f>Dados!$J332</f>
        <v>Intenso</v>
      </c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>
      <c r="A271" s="42">
        <v>46114.0</v>
      </c>
      <c r="B271" s="43">
        <v>0.7708333333333334</v>
      </c>
      <c r="C271" s="47" t="s">
        <v>33</v>
      </c>
      <c r="D271" s="45" t="s">
        <v>20</v>
      </c>
      <c r="E271" s="48">
        <f>Dados!$I333</f>
        <v>39</v>
      </c>
      <c r="F271" s="48" t="str">
        <f>Dados!$J333</f>
        <v>Leve</v>
      </c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>
      <c r="A272" s="42">
        <v>46113.0</v>
      </c>
      <c r="B272" s="43">
        <v>0.3125</v>
      </c>
      <c r="C272" s="44" t="s">
        <v>15</v>
      </c>
      <c r="D272" s="45" t="s">
        <v>16</v>
      </c>
      <c r="E272" s="48">
        <f>Dados!$I337</f>
        <v>39</v>
      </c>
      <c r="F272" s="48" t="str">
        <f>Dados!$J337</f>
        <v>Moderado</v>
      </c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>
      <c r="A273" s="42">
        <v>46113.0</v>
      </c>
      <c r="B273" s="43">
        <v>0.3125</v>
      </c>
      <c r="C273" s="44" t="s">
        <v>15</v>
      </c>
      <c r="D273" s="45" t="s">
        <v>20</v>
      </c>
      <c r="E273" s="48">
        <f>Dados!$I338</f>
        <v>43</v>
      </c>
      <c r="F273" s="48" t="str">
        <f>Dados!$J338</f>
        <v>Intenso</v>
      </c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>
      <c r="A274" s="42">
        <v>46113.0</v>
      </c>
      <c r="B274" s="43">
        <v>0.3125</v>
      </c>
      <c r="C274" s="44" t="s">
        <v>25</v>
      </c>
      <c r="D274" s="45" t="s">
        <v>16</v>
      </c>
      <c r="E274" s="48">
        <f>Dados!$I339</f>
        <v>31</v>
      </c>
      <c r="F274" s="48" t="str">
        <f>Dados!$J339</f>
        <v>Moderado</v>
      </c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>
      <c r="A275" s="42">
        <v>46113.0</v>
      </c>
      <c r="B275" s="43">
        <v>0.3125</v>
      </c>
      <c r="C275" s="44" t="s">
        <v>25</v>
      </c>
      <c r="D275" s="45" t="s">
        <v>20</v>
      </c>
      <c r="E275" s="48">
        <f>Dados!$I340</f>
        <v>37</v>
      </c>
      <c r="F275" s="48" t="str">
        <f>Dados!$J340</f>
        <v>Intenso</v>
      </c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42">
        <v>46113.0</v>
      </c>
      <c r="B276" s="43">
        <v>0.3125</v>
      </c>
      <c r="C276" s="44" t="s">
        <v>27</v>
      </c>
      <c r="D276" s="45" t="s">
        <v>16</v>
      </c>
      <c r="E276" s="48">
        <f>Dados!$I341</f>
        <v>28</v>
      </c>
      <c r="F276" s="48" t="str">
        <f>Dados!$J341</f>
        <v>Leve</v>
      </c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42">
        <v>46113.0</v>
      </c>
      <c r="B277" s="43">
        <v>0.3125</v>
      </c>
      <c r="C277" s="44" t="s">
        <v>27</v>
      </c>
      <c r="D277" s="45" t="s">
        <v>20</v>
      </c>
      <c r="E277" s="48">
        <f>Dados!$I342</f>
        <v>40</v>
      </c>
      <c r="F277" s="48" t="str">
        <f>Dados!$J342</f>
        <v>Intenso</v>
      </c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42">
        <v>46113.0</v>
      </c>
      <c r="B278" s="43">
        <v>0.3125</v>
      </c>
      <c r="C278" s="44" t="s">
        <v>31</v>
      </c>
      <c r="D278" s="45" t="s">
        <v>16</v>
      </c>
      <c r="E278" s="48">
        <f>Dados!$I343</f>
        <v>36</v>
      </c>
      <c r="F278" s="48" t="str">
        <f>Dados!$J343</f>
        <v>Leve</v>
      </c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42">
        <v>46113.0</v>
      </c>
      <c r="B279" s="43">
        <v>0.3125</v>
      </c>
      <c r="C279" s="44" t="s">
        <v>31</v>
      </c>
      <c r="D279" s="45" t="s">
        <v>20</v>
      </c>
      <c r="E279" s="48">
        <f>Dados!$I344</f>
        <v>42</v>
      </c>
      <c r="F279" s="48" t="str">
        <f>Dados!$J344</f>
        <v>Intenso</v>
      </c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42">
        <v>46113.0</v>
      </c>
      <c r="B280" s="43">
        <v>0.3125</v>
      </c>
      <c r="C280" s="47" t="s">
        <v>33</v>
      </c>
      <c r="D280" s="45" t="s">
        <v>16</v>
      </c>
      <c r="E280" s="48">
        <f>Dados!$I345</f>
        <v>46</v>
      </c>
      <c r="F280" s="48" t="str">
        <f>Dados!$J345</f>
        <v>Intenso</v>
      </c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42">
        <v>46113.0</v>
      </c>
      <c r="B281" s="43">
        <v>0.3125</v>
      </c>
      <c r="C281" s="47" t="s">
        <v>33</v>
      </c>
      <c r="D281" s="45" t="s">
        <v>20</v>
      </c>
      <c r="E281" s="48">
        <f>Dados!$I346</f>
        <v>42</v>
      </c>
      <c r="F281" s="48" t="str">
        <f>Dados!$J346</f>
        <v>Moderado</v>
      </c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42">
        <v>46113.0</v>
      </c>
      <c r="B282" s="43">
        <v>0.5208333333333334</v>
      </c>
      <c r="C282" s="44" t="s">
        <v>15</v>
      </c>
      <c r="D282" s="45" t="s">
        <v>16</v>
      </c>
      <c r="E282" s="48">
        <f>Dados!$I349</f>
        <v>32</v>
      </c>
      <c r="F282" s="48" t="str">
        <f>Dados!$J349</f>
        <v>Leve</v>
      </c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42">
        <v>46113.0</v>
      </c>
      <c r="B283" s="43">
        <v>0.5208333333333334</v>
      </c>
      <c r="C283" s="44" t="s">
        <v>15</v>
      </c>
      <c r="D283" s="45" t="s">
        <v>20</v>
      </c>
      <c r="E283" s="48">
        <f>Dados!$I350</f>
        <v>38</v>
      </c>
      <c r="F283" s="48" t="str">
        <f>Dados!$J350</f>
        <v>Moderado</v>
      </c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42">
        <v>46113.0</v>
      </c>
      <c r="B284" s="43">
        <v>0.5208333333333334</v>
      </c>
      <c r="C284" s="44" t="s">
        <v>25</v>
      </c>
      <c r="D284" s="45" t="s">
        <v>16</v>
      </c>
      <c r="E284" s="48">
        <f>Dados!$I351</f>
        <v>23</v>
      </c>
      <c r="F284" s="48" t="str">
        <f>Dados!$J351</f>
        <v>Leve</v>
      </c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42">
        <v>46113.0</v>
      </c>
      <c r="B285" s="43">
        <v>0.5208333333333334</v>
      </c>
      <c r="C285" s="44" t="s">
        <v>25</v>
      </c>
      <c r="D285" s="45" t="s">
        <v>20</v>
      </c>
      <c r="E285" s="48">
        <f>Dados!$I352</f>
        <v>37</v>
      </c>
      <c r="F285" s="48" t="str">
        <f>Dados!$J352</f>
        <v>Intenso</v>
      </c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42">
        <v>46113.0</v>
      </c>
      <c r="B286" s="43">
        <v>0.5208333333333334</v>
      </c>
      <c r="C286" s="44" t="s">
        <v>27</v>
      </c>
      <c r="D286" s="45" t="s">
        <v>16</v>
      </c>
      <c r="E286" s="48">
        <f>Dados!$I353</f>
        <v>25</v>
      </c>
      <c r="F286" s="48" t="str">
        <f>Dados!$J353</f>
        <v>Leve</v>
      </c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42">
        <v>46113.0</v>
      </c>
      <c r="B287" s="43">
        <v>0.5208333333333334</v>
      </c>
      <c r="C287" s="44" t="s">
        <v>27</v>
      </c>
      <c r="D287" s="45" t="s">
        <v>20</v>
      </c>
      <c r="E287" s="48">
        <f>Dados!$I354</f>
        <v>37</v>
      </c>
      <c r="F287" s="48" t="str">
        <f>Dados!$J354</f>
        <v>Intenso</v>
      </c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42">
        <v>46113.0</v>
      </c>
      <c r="B288" s="43">
        <v>0.5208333333333334</v>
      </c>
      <c r="C288" s="44" t="s">
        <v>31</v>
      </c>
      <c r="D288" s="45" t="s">
        <v>16</v>
      </c>
      <c r="E288" s="48">
        <f>Dados!$I355</f>
        <v>32</v>
      </c>
      <c r="F288" s="48" t="str">
        <f>Dados!$J355</f>
        <v>Leve</v>
      </c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42">
        <v>46113.0</v>
      </c>
      <c r="B289" s="43">
        <v>0.5208333333333334</v>
      </c>
      <c r="C289" s="44" t="s">
        <v>31</v>
      </c>
      <c r="D289" s="45" t="s">
        <v>20</v>
      </c>
      <c r="E289" s="48">
        <f>Dados!$I356</f>
        <v>36</v>
      </c>
      <c r="F289" s="48" t="str">
        <f>Dados!$J356</f>
        <v>Moderado</v>
      </c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42">
        <v>46113.0</v>
      </c>
      <c r="B290" s="43">
        <v>0.5208333333333334</v>
      </c>
      <c r="C290" s="47" t="s">
        <v>33</v>
      </c>
      <c r="D290" s="45" t="s">
        <v>16</v>
      </c>
      <c r="E290" s="48">
        <f>Dados!$I357</f>
        <v>40</v>
      </c>
      <c r="F290" s="48" t="str">
        <f>Dados!$J357</f>
        <v>Moderado</v>
      </c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42">
        <v>46113.0</v>
      </c>
      <c r="B291" s="43">
        <v>0.5208333333333334</v>
      </c>
      <c r="C291" s="47" t="s">
        <v>33</v>
      </c>
      <c r="D291" s="45" t="s">
        <v>20</v>
      </c>
      <c r="E291" s="48">
        <f>Dados!$I358</f>
        <v>45</v>
      </c>
      <c r="F291" s="48" t="str">
        <f>Dados!$J358</f>
        <v>Leve</v>
      </c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42">
        <v>46113.0</v>
      </c>
      <c r="B292" s="43">
        <v>0.7708333333333334</v>
      </c>
      <c r="C292" s="44" t="s">
        <v>15</v>
      </c>
      <c r="D292" s="45" t="s">
        <v>16</v>
      </c>
      <c r="E292" s="48">
        <f>Dados!$I361</f>
        <v>36</v>
      </c>
      <c r="F292" s="48" t="str">
        <f>Dados!$J361</f>
        <v>Moderado</v>
      </c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42">
        <v>46113.0</v>
      </c>
      <c r="B293" s="43">
        <v>0.7708333333333334</v>
      </c>
      <c r="C293" s="44" t="s">
        <v>15</v>
      </c>
      <c r="D293" s="45" t="s">
        <v>20</v>
      </c>
      <c r="E293" s="48">
        <f>Dados!$I362</f>
        <v>40</v>
      </c>
      <c r="F293" s="48" t="str">
        <f>Dados!$J362</f>
        <v>Moderado</v>
      </c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42">
        <v>46113.0</v>
      </c>
      <c r="B294" s="43">
        <v>0.7708333333333334</v>
      </c>
      <c r="C294" s="44" t="s">
        <v>25</v>
      </c>
      <c r="D294" s="45" t="s">
        <v>16</v>
      </c>
      <c r="E294" s="48">
        <f>Dados!$I363</f>
        <v>25</v>
      </c>
      <c r="F294" s="48" t="str">
        <f>Dados!$J363</f>
        <v>Moderado</v>
      </c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42">
        <v>46113.0</v>
      </c>
      <c r="B295" s="43">
        <v>0.7708333333333334</v>
      </c>
      <c r="C295" s="44" t="s">
        <v>25</v>
      </c>
      <c r="D295" s="45" t="s">
        <v>20</v>
      </c>
      <c r="E295" s="48">
        <f>Dados!$I364</f>
        <v>41</v>
      </c>
      <c r="F295" s="48" t="str">
        <f>Dados!$J364</f>
        <v>Intenso</v>
      </c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42">
        <v>46113.0</v>
      </c>
      <c r="B296" s="43">
        <v>0.7708333333333334</v>
      </c>
      <c r="C296" s="44" t="s">
        <v>27</v>
      </c>
      <c r="D296" s="45" t="s">
        <v>16</v>
      </c>
      <c r="E296" s="48">
        <f>Dados!$I365</f>
        <v>27</v>
      </c>
      <c r="F296" s="48" t="str">
        <f>Dados!$J365</f>
        <v>Leve</v>
      </c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42">
        <v>46113.0</v>
      </c>
      <c r="B297" s="43">
        <v>0.7708333333333334</v>
      </c>
      <c r="C297" s="44" t="s">
        <v>27</v>
      </c>
      <c r="D297" s="45" t="s">
        <v>20</v>
      </c>
      <c r="E297" s="48">
        <f>Dados!$I366</f>
        <v>41</v>
      </c>
      <c r="F297" s="48" t="str">
        <f>Dados!$J366</f>
        <v>Intenso</v>
      </c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42">
        <v>46113.0</v>
      </c>
      <c r="B298" s="43">
        <v>0.7708333333333334</v>
      </c>
      <c r="C298" s="44" t="s">
        <v>31</v>
      </c>
      <c r="D298" s="45" t="s">
        <v>16</v>
      </c>
      <c r="E298" s="48">
        <f>Dados!$I367</f>
        <v>34</v>
      </c>
      <c r="F298" s="48" t="str">
        <f>Dados!$J367</f>
        <v>Moderado</v>
      </c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42">
        <v>46113.0</v>
      </c>
      <c r="B299" s="43">
        <v>0.7708333333333334</v>
      </c>
      <c r="C299" s="44" t="s">
        <v>31</v>
      </c>
      <c r="D299" s="45" t="s">
        <v>20</v>
      </c>
      <c r="E299" s="48">
        <f>Dados!$I368</f>
        <v>36</v>
      </c>
      <c r="F299" s="48" t="str">
        <f>Dados!$J368</f>
        <v>Intenso</v>
      </c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42">
        <v>46113.0</v>
      </c>
      <c r="B300" s="43">
        <v>0.7708333333333334</v>
      </c>
      <c r="C300" s="47" t="s">
        <v>33</v>
      </c>
      <c r="D300" s="45" t="s">
        <v>16</v>
      </c>
      <c r="E300" s="48">
        <f>Dados!$I369</f>
        <v>44</v>
      </c>
      <c r="F300" s="48" t="str">
        <f>Dados!$J369</f>
        <v>Moderado</v>
      </c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42">
        <v>46113.0</v>
      </c>
      <c r="B301" s="43">
        <v>0.7708333333333334</v>
      </c>
      <c r="C301" s="47" t="s">
        <v>33</v>
      </c>
      <c r="D301" s="45" t="s">
        <v>20</v>
      </c>
      <c r="E301" s="48">
        <f>Dados!$I370</f>
        <v>38</v>
      </c>
      <c r="F301" s="48" t="str">
        <f>Dados!$J370</f>
        <v>Leve</v>
      </c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 t="s">
        <v>68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9" t="s">
        <v>69</v>
      </c>
      <c r="B4" s="49" t="s">
        <v>70</v>
      </c>
      <c r="C4" s="49" t="s">
        <v>71</v>
      </c>
      <c r="D4" s="49" t="s">
        <v>72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4" t="s">
        <v>15</v>
      </c>
      <c r="B5" s="45" t="s">
        <v>16</v>
      </c>
      <c r="C5" s="50">
        <f>MIN(Dados1!E2,Dados1!E32,Dados1!E62,Dados1!E92,Dados1!E122,Dados1!E152,Dados1!E182,Dados1!E212,Dados1!E242,Dados1!E272)</f>
        <v>28</v>
      </c>
      <c r="D5" s="50">
        <f>MAX(Dados1!E2,Dados1!E32,Dados1!E62,Dados1!E92,Dados1!E122,Dados1!E152,Dados1!E182,Dados1!E212,Dados1!E242,Dados1!E272)</f>
        <v>39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12"/>
      <c r="B6" s="45" t="s">
        <v>20</v>
      </c>
      <c r="C6" s="50">
        <f>MIN(Dados1!E3,Dados1!E33,Dados1!E63,Dados1!E93,Dados1!E123,Dados1!E153,Dados1!E183,Dados1!E213,Dados1!E243,Dados1!E273)</f>
        <v>32</v>
      </c>
      <c r="D6" s="50">
        <f>MAX(Dados1!E3,Dados1!E33,Dados1!E63,Dados1!E93,Dados1!E123,Dados1!E153,Dados1!E183,Dados1!E213,Dados1!E243,Dados1!E273)</f>
        <v>43</v>
      </c>
      <c r="E6" s="51" t="s">
        <v>73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4" t="s">
        <v>25</v>
      </c>
      <c r="B7" s="45" t="s">
        <v>16</v>
      </c>
      <c r="C7" s="50">
        <f>MIN(Dados1!E4,Dados1!E34,Dados1!E64,Dados1!E94,Dados1!E124,Dados1!E154,Dados1!E184,Dados1!E214,Dados1!E244,Dados1!E274)</f>
        <v>21</v>
      </c>
      <c r="D7" s="50">
        <f>MAX(Dados1!E4,Dados1!E34,Dados1!E64,Dados1!E94,Dados1!E124,Dados1!E154,Dados1!E184,Dados1!E214,Dados1!E244,Dados1!E274)</f>
        <v>31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12"/>
      <c r="B8" s="45" t="s">
        <v>20</v>
      </c>
      <c r="C8" s="50">
        <f>MIN(Dados1!E5,Dados1!E35,Dados1!E65,Dados1!E95,Dados1!E125,Dados1!E155,Dados1!E185,Dados1!E215,Dados1!E245,Dados1!E275)</f>
        <v>29</v>
      </c>
      <c r="D8" s="50">
        <f>MAX(Dados1!E5,Dados1!E35,Dados1!E65,Dados1!E95,Dados1!E125,Dados1!E155,Dados1!E185,Dados1!E215,Dados1!E245,Dados1!E275)</f>
        <v>41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4" t="s">
        <v>27</v>
      </c>
      <c r="B9" s="45" t="s">
        <v>16</v>
      </c>
      <c r="C9" s="50">
        <f>MIN(Dados1!E6,Dados1!E36,Dados1!E66,Dados1!E96,Dados1!E126,Dados1!E156,Dados1!E186,Dados1!E216,Dados1!E246,Dados1!E276)</f>
        <v>21</v>
      </c>
      <c r="D9" s="50">
        <f>MAX(Dados1!E6,Dados1!E36,Dados1!E66,Dados1!E96,Dados1!E126,Dados1!E156,Dados1!E186,Dados1!E216,Dados1!E246,Dados1!E276)</f>
        <v>30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12"/>
      <c r="B10" s="45" t="s">
        <v>20</v>
      </c>
      <c r="C10" s="50">
        <f>MIN(Dados1!E7,Dados1!E37,Dados1!E67,Dados1!E97,Dados1!E127,Dados1!E157,Dados1!E187,Dados1!E217,Dados1!E247,Dados1!E277)</f>
        <v>28</v>
      </c>
      <c r="D10" s="50">
        <f>MAX(Dados1!E7,Dados1!E37,Dados1!E67,Dados1!E97,Dados1!E127,Dados1!E157,Dados1!E187,Dados1!E217,Dados1!E247,Dados1!E277)</f>
        <v>42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4" t="s">
        <v>31</v>
      </c>
      <c r="B11" s="45" t="s">
        <v>16</v>
      </c>
      <c r="C11" s="50">
        <f>MIN(Dados1!E8,Dados1!E38,Dados1!E68,Dados1!E98,Dados1!E128,Dados1!E158,Dados1!E188,Dados1!E218,Dados1!E248,Dados1!E278)</f>
        <v>27</v>
      </c>
      <c r="D11" s="50">
        <f>MAX(Dados1!E8,Dados1!E38,Dados1!E68,Dados1!E98,Dados1!E128,Dados1!E158,Dados1!E188,Dados1!E218,Dados1!E248,Dados1!E278)</f>
        <v>36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12"/>
      <c r="B12" s="45" t="s">
        <v>20</v>
      </c>
      <c r="C12" s="50">
        <f>MIN(Dados1!E9,Dados1!E39,Dados1!E69,Dados1!E99,Dados1!E129,Dados1!E159,Dados1!E189,Dados1!E219,Dados1!E249,Dados1!E279)</f>
        <v>28</v>
      </c>
      <c r="D12" s="50">
        <f>MAX(Dados1!E9,Dados1!E39,Dados1!E69,Dados1!E99,Dados1!E129,Dados1!E159,Dados1!E189,Dados1!E219,Dados1!E249,Dados1!E279)</f>
        <v>44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7" t="s">
        <v>33</v>
      </c>
      <c r="B13" s="45" t="s">
        <v>16</v>
      </c>
      <c r="C13" s="50">
        <f>MIN(Dados1!E10,Dados1!E40,Dados1!E70,Dados1!E100,Dados1!E130,Dados1!E160,Dados1!E190,Dados1!E220,Dados1!E250,Dados1!E280)</f>
        <v>31</v>
      </c>
      <c r="D13" s="50">
        <f>MAX(Dados1!E10,Dados1!E40,Dados1!E70,Dados1!E100,Dados1!E130,Dados1!E160,Dados1!E190,Dados1!E220,Dados1!E250,Dados1!E280)</f>
        <v>48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12"/>
      <c r="B14" s="45" t="s">
        <v>20</v>
      </c>
      <c r="C14" s="50">
        <f>MIN(Dados1!E11,Dados1!E41,Dados1!E71,Dados1!E101,Dados1!E131,Dados1!E161,Dados1!E191,Dados1!E221,Dados1!E251,Dados1!E281)</f>
        <v>29</v>
      </c>
      <c r="D14" s="50">
        <f>MAX(Dados1!E11,Dados1!E41,Dados1!E71,Dados1!E101,Dados1!E131,Dados1!E161,Dados1!E191,Dados1!E221,Dados1!E251,Dados1!E281)</f>
        <v>44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51" t="s">
        <v>73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 t="s">
        <v>74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9" t="s">
        <v>69</v>
      </c>
      <c r="B33" s="49" t="s">
        <v>70</v>
      </c>
      <c r="C33" s="49" t="s">
        <v>71</v>
      </c>
      <c r="D33" s="49" t="s">
        <v>72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4" t="s">
        <v>15</v>
      </c>
      <c r="B34" s="45" t="s">
        <v>16</v>
      </c>
      <c r="C34" s="50">
        <f>MIN(Dados1!E12,Dados1!E42,Dados1!E72,Dados1!E102,Dados1!E132,Dados1!E162,Dados1!E192,Dados1!E222,Dados1!E252,Dados1!E282)</f>
        <v>28</v>
      </c>
      <c r="D34" s="50">
        <f>MAX(Dados1!E12,Dados1!E42,Dados1!E72,Dados1!E102,Dados1!E132,Dados1!E162,Dados1!E192,Dados1!E222,Dados1!E252,Dados1!E282)</f>
        <v>32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12"/>
      <c r="B35" s="45" t="s">
        <v>20</v>
      </c>
      <c r="C35" s="50">
        <f>MIN(Dados1!E13,Dados1!E43,Dados1!E73,Dados1!E103,Dados1!E133,Dados1!E163,Dados1!E193,Dados1!E223,Dados1!E253,Dados1!E283)</f>
        <v>32</v>
      </c>
      <c r="D35" s="50">
        <f>MAX(Dados1!E13,Dados1!E43,Dados1!E73,Dados1!E103,Dados1!E133,Dados1!E163,Dados1!E193,Dados1!E223,Dados1!E253,Dados1!E283)</f>
        <v>40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4" t="s">
        <v>25</v>
      </c>
      <c r="B36" s="45" t="s">
        <v>16</v>
      </c>
      <c r="C36" s="50">
        <f>MIN(Dados1!E14,Dados1!E44,Dados1!E74,Dados1!E104,Dados1!E134,Dados1!E164,Dados1!E194,Dados1!E224,Dados1!E254,Dados1!E284)</f>
        <v>21</v>
      </c>
      <c r="D36" s="50">
        <f>MAX(Dados1!E14,Dados1!E44,Dados1!E74,Dados1!E104,Dados1!E134,Dados1!E164,Dados1!E194,Dados1!E224,Dados1!E254,Dados1!E284)</f>
        <v>25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12"/>
      <c r="B37" s="45" t="s">
        <v>20</v>
      </c>
      <c r="C37" s="50">
        <f>MIN(Dados1!E15,Dados1!E45,Dados1!E75,Dados1!E105,Dados1!E135,Dados1!E165,Dados1!E195,Dados1!E225,Dados1!E255,Dados1!E285)</f>
        <v>29</v>
      </c>
      <c r="D37" s="50">
        <f>MAX(Dados1!E15,Dados1!E45,Dados1!E75,Dados1!E105,Dados1!E135,Dados1!E165,Dados1!E195,Dados1!E225,Dados1!E255,Dados1!E285)</f>
        <v>41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4" t="s">
        <v>27</v>
      </c>
      <c r="B38" s="45" t="s">
        <v>16</v>
      </c>
      <c r="C38" s="50">
        <f>MIN(Dados1!E16,Dados1!E46,Dados1!E76,Dados1!E106,Dados1!E136,Dados1!E166,Dados1!E196,Dados1!E226,Dados1!E256,Dados1!E286)</f>
        <v>21</v>
      </c>
      <c r="D38" s="50">
        <f>MAX(Dados1!E16,Dados1!E46,Dados1!E76,Dados1!E106,Dados1!E136,Dados1!E166,Dados1!E196,Dados1!E226,Dados1!E256,Dados1!E286)</f>
        <v>26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12"/>
      <c r="B39" s="45" t="s">
        <v>20</v>
      </c>
      <c r="C39" s="50">
        <f>MIN(Dados1!E17,Dados1!E47,Dados1!E77,Dados1!E107,Dados1!E137,Dados1!E167,Dados1!E197,Dados1!E227,Dados1!E257,Dados1!E287)</f>
        <v>28</v>
      </c>
      <c r="D39" s="50">
        <f>MAX(Dados1!E17,Dados1!E47,Dados1!E77,Dados1!E107,Dados1!E137,Dados1!E167,Dados1!E197,Dados1!E227,Dados1!E257,Dados1!E287)</f>
        <v>40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4" t="s">
        <v>31</v>
      </c>
      <c r="B40" s="45" t="s">
        <v>16</v>
      </c>
      <c r="C40" s="50">
        <f>MIN(Dados1!E18,Dados1!E48,Dados1!E78,Dados1!E108,Dados1!E138,Dados1!E168,Dados1!E198,Dados1!E228,Dados1!E258,Dados1!E288)</f>
        <v>27</v>
      </c>
      <c r="D40" s="50">
        <f>MAX(Dados1!E18,Dados1!E48,Dados1!E78,Dados1!E108,Dados1!E138,Dados1!E168,Dados1!E198,Dados1!E228,Dados1!E258,Dados1!E288)</f>
        <v>32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12"/>
      <c r="B41" s="45" t="s">
        <v>20</v>
      </c>
      <c r="C41" s="50">
        <f>MIN(Dados1!E19,Dados1!E49,Dados1!E79,Dados1!E109,Dados1!E139,Dados1!E169,Dados1!E199,Dados1!E229,Dados1!E259,Dados1!E289)</f>
        <v>29</v>
      </c>
      <c r="D41" s="50">
        <f>MAX(Dados1!E19,Dados1!E49,Dados1!E79,Dados1!E109,Dados1!E139,Dados1!E169,Dados1!E199,Dados1!E229,Dados1!E259,Dados1!E289)</f>
        <v>38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7" t="s">
        <v>33</v>
      </c>
      <c r="B42" s="45" t="s">
        <v>16</v>
      </c>
      <c r="C42" s="50">
        <f>MIN(Dados1!E20,Dados1!E50,Dados1!E80,Dados1!E110,Dados1!E140,Dados1!E170,Dados1!E200,Dados1!E230,Dados1!E260,Dados1!E290)</f>
        <v>31</v>
      </c>
      <c r="D42" s="50">
        <f>MAX(Dados1!E20,Dados1!E50,Dados1!E80,Dados1!E110,Dados1!E140,Dados1!E170,Dados1!E200,Dados1!E230,Dados1!E260,Dados1!E290)</f>
        <v>42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2"/>
      <c r="B43" s="45" t="s">
        <v>20</v>
      </c>
      <c r="C43" s="50">
        <f>MIN(Dados1!E21,Dados1!E51,Dados1!E81,Dados1!E111,Dados1!E141,Dados1!E171,Dados1!E201,Dados1!E231,Dados1!E261,Dados1!E291)</f>
        <v>30</v>
      </c>
      <c r="D43" s="50">
        <f>MAX(Dados1!E21,Dados1!E51,Dados1!E81,Dados1!E111,Dados1!E141,Dados1!E171,Dados1!E201,Dados1!E231,Dados1!E261,Dados1!E291)</f>
        <v>45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 t="s">
        <v>75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9" t="s">
        <v>69</v>
      </c>
      <c r="B59" s="49" t="s">
        <v>70</v>
      </c>
      <c r="C59" s="49" t="s">
        <v>71</v>
      </c>
      <c r="D59" s="49" t="s">
        <v>72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4" t="s">
        <v>15</v>
      </c>
      <c r="B60" s="45" t="s">
        <v>16</v>
      </c>
      <c r="C60" s="50">
        <f>MIN(Dados1!E22,Dados1!E52,Dados1!E82,Dados1!E112,Dados1!E142,Dados1!E172,Dados1!E202,Dados1!E232,Dados1!E262,Dados1!E292)</f>
        <v>30</v>
      </c>
      <c r="D60" s="50">
        <f>MAX(Dados1!E22,Dados1!E52,Dados1!E82,Dados1!E112,Dados1!E142,Dados1!E172,Dados1!E202,Dados1!E232,Dados1!E262,Dados1!E292)</f>
        <v>36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12"/>
      <c r="B61" s="45" t="s">
        <v>20</v>
      </c>
      <c r="C61" s="50">
        <f>MIN(Dados1!E23,Dados1!E53,Dados1!E83,Dados1!E113,Dados1!E143,Dados1!E173,Dados1!E203,Dados1!E233,Dados1!E263,Dados1!E293)</f>
        <v>32</v>
      </c>
      <c r="D61" s="50">
        <f>MAX(Dados1!E23,Dados1!E53,Dados1!E83,Dados1!E113,Dados1!E143,Dados1!E173,Dados1!E203,Dados1!E233,Dados1!E263,Dados1!E293)</f>
        <v>40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4" t="s">
        <v>25</v>
      </c>
      <c r="B62" s="45" t="s">
        <v>16</v>
      </c>
      <c r="C62" s="50">
        <f>MIN(Dados1!E24,Dados1!E54,Dados1!E84,Dados1!E114,Dados1!E144,Dados1!E174,Dados1!E204,Dados1!E234,Dados1!E264,Dados1!E294)</f>
        <v>23</v>
      </c>
      <c r="D62" s="50">
        <f>MAX(Dados1!E24,Dados1!E54,Dados1!E84,Dados1!E114,Dados1!E144,Dados1!E174,Dados1!E204,Dados1!E234,Dados1!E264,Dados1!E294)</f>
        <v>25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12"/>
      <c r="B63" s="45" t="s">
        <v>20</v>
      </c>
      <c r="C63" s="50">
        <f>MIN(Dados1!E25,Dados1!E55,Dados1!E85,Dados1!E115,Dados1!E145,Dados1!E175,Dados1!E205,Dados1!E235,Dados1!E265,Dados1!E295)</f>
        <v>31</v>
      </c>
      <c r="D63" s="50">
        <f>MAX(Dados1!E25,Dados1!E55,Dados1!E85,Dados1!E115,Dados1!E145,Dados1!E175,Dados1!E205,Dados1!E235,Dados1!E265,Dados1!E295)</f>
        <v>41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4" t="s">
        <v>27</v>
      </c>
      <c r="B64" s="45" t="s">
        <v>16</v>
      </c>
      <c r="C64" s="50">
        <f>MIN(Dados1!E26,Dados1!E56,Dados1!E86,Dados1!E116,Dados1!E146,Dados1!E176,Dados1!E206,Dados1!E236,Dados1!E266,Dados1!E296)</f>
        <v>21</v>
      </c>
      <c r="D64" s="50">
        <f>MAX(Dados1!E26,Dados1!E56,Dados1!E86,Dados1!E116,Dados1!E146,Dados1!E176,Dados1!E206,Dados1!E236,Dados1!E266,Dados1!E296)</f>
        <v>30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12"/>
      <c r="B65" s="45" t="s">
        <v>20</v>
      </c>
      <c r="C65" s="50">
        <f>MIN(Dados1!E27,Dados1!E57,Dados1!E87,Dados1!E117,Dados1!E147,Dados1!E177,Dados1!E207,Dados1!E237,Dados1!E267,Dados1!E297)</f>
        <v>30</v>
      </c>
      <c r="D65" s="50">
        <f>MAX(Dados1!E27,Dados1!E57,Dados1!E87,Dados1!E117,Dados1!E147,Dados1!E177,Dados1!E207,Dados1!E237,Dados1!E267,Dados1!E297)</f>
        <v>42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4" t="s">
        <v>31</v>
      </c>
      <c r="B66" s="45" t="s">
        <v>16</v>
      </c>
      <c r="C66" s="50">
        <f>MIN(Dados1!E28,Dados1!E58,Dados1!E88,Dados1!E118,Dados1!E148,Dados1!E178,Dados1!E208,Dados1!E238,Dados1!E268,Dados1!E298)</f>
        <v>29</v>
      </c>
      <c r="D66" s="50">
        <f>MAX(Dados1!E28,Dados1!E58,Dados1!E88,Dados1!E118,Dados1!E148,Dados1!E178,Dados1!E208,Dados1!E238,Dados1!E268,Dados1!E298)</f>
        <v>38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12"/>
      <c r="B67" s="45" t="s">
        <v>20</v>
      </c>
      <c r="C67" s="50">
        <f>MIN(Dados1!E29,Dados1!E59,Dados1!E89,Dados1!E119,Dados1!E149,Dados1!E179,Dados1!E209,Dados1!E239,Dados1!E269,Dados1!E299)</f>
        <v>32</v>
      </c>
      <c r="D67" s="50">
        <f>MAX(Dados1!E29,Dados1!E59,Dados1!E89,Dados1!E119,Dados1!E149,Dados1!E179,Dados1!E209,Dados1!E239,Dados1!E269,Dados1!E299)</f>
        <v>40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7" t="s">
        <v>33</v>
      </c>
      <c r="B68" s="45" t="s">
        <v>16</v>
      </c>
      <c r="C68" s="50">
        <f>MIN(Dados1!E30,Dados1!E60,Dados1!E90,Dados1!E120,Dados1!E150,Dados1!E180,Dados1!E210,Dados1!E240,Dados1!E270,Dados1!E300)</f>
        <v>36</v>
      </c>
      <c r="D68" s="50">
        <f>MAX(Dados1!E30,Dados1!E60,Dados1!E90,Dados1!E120,Dados1!E150,Dados1!E180,Dados1!E210,Dados1!E240,Dados1!E270,Dados1!E300)</f>
        <v>46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12"/>
      <c r="B69" s="45" t="s">
        <v>20</v>
      </c>
      <c r="C69" s="50">
        <f>MIN(Dados1!E31,Dados1!E61,Dados1!E91,Dados1!E121,Dados1!E151,Dados1!E181,Dados1!E211,Dados1!E241,Dados1!E271,Dados1!E30)</f>
        <v>32</v>
      </c>
      <c r="D69" s="50">
        <f>MAX(Dados1!E31,Dados1!E61,Dados1!E91,Dados1!E121,Dados1!E151,Dados1!E181,Dados1!E211,Dados1!E241,Dados1!E271,Dados1!E30)</f>
        <v>46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</sheetData>
  <mergeCells count="15">
    <mergeCell ref="A38:A39"/>
    <mergeCell ref="A40:A41"/>
    <mergeCell ref="A42:A43"/>
    <mergeCell ref="A60:A61"/>
    <mergeCell ref="A62:A63"/>
    <mergeCell ref="A64:A65"/>
    <mergeCell ref="A66:A67"/>
    <mergeCell ref="A68:A69"/>
    <mergeCell ref="A5:A6"/>
    <mergeCell ref="A7:A8"/>
    <mergeCell ref="A9:A10"/>
    <mergeCell ref="A11:A12"/>
    <mergeCell ref="A13:A14"/>
    <mergeCell ref="A34:A35"/>
    <mergeCell ref="A36:A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 t="s">
        <v>68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9" t="s">
        <v>69</v>
      </c>
      <c r="B4" s="49" t="s">
        <v>70</v>
      </c>
      <c r="C4" s="49" t="s">
        <v>71</v>
      </c>
      <c r="D4" s="49" t="s">
        <v>72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4" t="s">
        <v>15</v>
      </c>
      <c r="B5" s="45" t="s">
        <v>16</v>
      </c>
      <c r="C5" s="50">
        <f>MIN(Dados1!E2,Dados1!E32,Dados1!E62,Dados1!E92,Dados1!E122,Dados1!E152,Dados1!E182,Dados1!E212,Dados1!E242,Dados1!E272)</f>
        <v>28</v>
      </c>
      <c r="D5" s="50">
        <f>MAX(Dados1!E2,Dados1!E32,Dados1!E62,Dados1!E92,Dados1!E122,Dados1!E152,Dados1!E182,Dados1!E212,Dados1!E242,Dados1!E272)</f>
        <v>39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12"/>
      <c r="B6" s="45" t="s">
        <v>20</v>
      </c>
      <c r="C6" s="50">
        <f>MIN(Dados1!E3,Dados1!E33,Dados1!E63,Dados1!E93,Dados1!E123,Dados1!E153,Dados1!E183,Dados1!E213,Dados1!E243,Dados1!E273)</f>
        <v>32</v>
      </c>
      <c r="D6" s="50">
        <f>MAX(Dados1!E3,Dados1!E33,Dados1!E63,Dados1!E93,Dados1!E123,Dados1!E153,Dados1!E183,Dados1!E213,Dados1!E243,Dados1!E273)</f>
        <v>43</v>
      </c>
      <c r="E6" s="51" t="s">
        <v>73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4" t="s">
        <v>25</v>
      </c>
      <c r="B7" s="45" t="s">
        <v>16</v>
      </c>
      <c r="C7" s="50">
        <f>MIN(Dados1!E4,Dados1!E34,Dados1!E64,Dados1!E94,Dados1!E124,Dados1!E154,Dados1!E184,Dados1!E214,Dados1!E244,Dados1!E274)</f>
        <v>21</v>
      </c>
      <c r="D7" s="50">
        <f>MAX(Dados1!E4,Dados1!E34,Dados1!E64,Dados1!E94,Dados1!E124,Dados1!E154,Dados1!E184,Dados1!E214,Dados1!E244,Dados1!E274)</f>
        <v>31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12"/>
      <c r="B8" s="45" t="s">
        <v>20</v>
      </c>
      <c r="C8" s="50">
        <f>MIN(Dados1!E5,Dados1!E35,Dados1!E65,Dados1!E95,Dados1!E125,Dados1!E155,Dados1!E185,Dados1!E215,Dados1!E245,Dados1!E275)</f>
        <v>29</v>
      </c>
      <c r="D8" s="50">
        <f>MAX(Dados1!E5,Dados1!E35,Dados1!E65,Dados1!E95,Dados1!E125,Dados1!E155,Dados1!E185,Dados1!E215,Dados1!E245,Dados1!E275)</f>
        <v>41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4" t="s">
        <v>27</v>
      </c>
      <c r="B9" s="45" t="s">
        <v>16</v>
      </c>
      <c r="C9" s="50">
        <f>MIN(Dados1!E6,Dados1!E36,Dados1!E66,Dados1!E96,Dados1!E126,Dados1!E156,Dados1!E186,Dados1!E216,Dados1!E246,Dados1!E276)</f>
        <v>21</v>
      </c>
      <c r="D9" s="50">
        <f>MAX(Dados1!E6,Dados1!E36,Dados1!E66,Dados1!E96,Dados1!E126,Dados1!E156,Dados1!E186,Dados1!E216,Dados1!E246,Dados1!E276)</f>
        <v>30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12"/>
      <c r="B10" s="45" t="s">
        <v>20</v>
      </c>
      <c r="C10" s="50">
        <f>MIN(Dados1!E7,Dados1!E37,Dados1!E67,Dados1!E97,Dados1!E127,Dados1!E157,Dados1!E187,Dados1!E217,Dados1!E247,Dados1!E277)</f>
        <v>28</v>
      </c>
      <c r="D10" s="50">
        <f>MAX(Dados1!E7,Dados1!E37,Dados1!E67,Dados1!E97,Dados1!E127,Dados1!E157,Dados1!E187,Dados1!E217,Dados1!E247,Dados1!E277)</f>
        <v>42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4" t="s">
        <v>31</v>
      </c>
      <c r="B11" s="45" t="s">
        <v>16</v>
      </c>
      <c r="C11" s="50">
        <f>MIN(Dados1!E8,Dados1!E38,Dados1!E68,Dados1!E98,Dados1!E128,Dados1!E158,Dados1!E188,Dados1!E218,Dados1!E248,Dados1!E278)</f>
        <v>27</v>
      </c>
      <c r="D11" s="50">
        <f>MAX(Dados1!E8,Dados1!E38,Dados1!E68,Dados1!E98,Dados1!E128,Dados1!E158,Dados1!E188,Dados1!E218,Dados1!E248,Dados1!E278)</f>
        <v>36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12"/>
      <c r="B12" s="45" t="s">
        <v>20</v>
      </c>
      <c r="C12" s="50">
        <f>MIN(Dados1!E9,Dados1!E39,Dados1!E69,Dados1!E99,Dados1!E129,Dados1!E159,Dados1!E189,Dados1!E219,Dados1!E249,Dados1!E279)</f>
        <v>28</v>
      </c>
      <c r="D12" s="50">
        <f>MAX(Dados1!E9,Dados1!E39,Dados1!E69,Dados1!E99,Dados1!E129,Dados1!E159,Dados1!E189,Dados1!E219,Dados1!E249,Dados1!E279)</f>
        <v>44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7" t="s">
        <v>33</v>
      </c>
      <c r="B13" s="45" t="s">
        <v>16</v>
      </c>
      <c r="C13" s="50">
        <f>MIN(Dados1!E10,Dados1!E40,Dados1!E70,Dados1!E100,Dados1!E130,Dados1!E160,Dados1!E190,Dados1!E220,Dados1!E250,Dados1!E280)</f>
        <v>31</v>
      </c>
      <c r="D13" s="50">
        <f>MAX(Dados1!E10,Dados1!E40,Dados1!E70,Dados1!E100,Dados1!E130,Dados1!E160,Dados1!E190,Dados1!E220,Dados1!E250,Dados1!E280)</f>
        <v>48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12"/>
      <c r="B14" s="45" t="s">
        <v>20</v>
      </c>
      <c r="C14" s="50">
        <f>MIN(Dados1!E11,Dados1!E41,Dados1!E71,Dados1!E101,Dados1!E131,Dados1!E161,Dados1!E191,Dados1!E221,Dados1!E251,Dados1!E281)</f>
        <v>29</v>
      </c>
      <c r="D14" s="50">
        <f>MAX(Dados1!E11,Dados1!E41,Dados1!E71,Dados1!E101,Dados1!E131,Dados1!E161,Dados1!E191,Dados1!E221,Dados1!E251,Dados1!E281)</f>
        <v>44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51" t="s">
        <v>73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 t="s">
        <v>74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9" t="s">
        <v>69</v>
      </c>
      <c r="B33" s="49" t="s">
        <v>70</v>
      </c>
      <c r="C33" s="49" t="s">
        <v>71</v>
      </c>
      <c r="D33" s="49" t="s">
        <v>72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4" t="s">
        <v>15</v>
      </c>
      <c r="B34" s="45" t="s">
        <v>16</v>
      </c>
      <c r="C34" s="50">
        <f>MIN(Dados1!E12,Dados1!E42,Dados1!E72,Dados1!E102,Dados1!E132,Dados1!E162,Dados1!E192,Dados1!E222,Dados1!E252,Dados1!E282)</f>
        <v>28</v>
      </c>
      <c r="D34" s="50">
        <f>MAX(Dados1!E12,Dados1!E42,Dados1!E72,Dados1!E102,Dados1!E132,Dados1!E162,Dados1!E192,Dados1!E222,Dados1!E252,Dados1!E282)</f>
        <v>32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12"/>
      <c r="B35" s="45" t="s">
        <v>20</v>
      </c>
      <c r="C35" s="50">
        <f>MIN(Dados1!E13,Dados1!E43,Dados1!E73,Dados1!E103,Dados1!E133,Dados1!E163,Dados1!E193,Dados1!E223,Dados1!E253,Dados1!E283)</f>
        <v>32</v>
      </c>
      <c r="D35" s="50">
        <f>MAX(Dados1!E13,Dados1!E43,Dados1!E73,Dados1!E103,Dados1!E133,Dados1!E163,Dados1!E193,Dados1!E223,Dados1!E253,Dados1!E283)</f>
        <v>40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4" t="s">
        <v>25</v>
      </c>
      <c r="B36" s="45" t="s">
        <v>16</v>
      </c>
      <c r="C36" s="50">
        <f>MIN(Dados1!E14,Dados1!E44,Dados1!E74,Dados1!E104,Dados1!E134,Dados1!E164,Dados1!E194,Dados1!E224,Dados1!E254,Dados1!E284)</f>
        <v>21</v>
      </c>
      <c r="D36" s="50">
        <f>MAX(Dados1!E14,Dados1!E44,Dados1!E74,Dados1!E104,Dados1!E134,Dados1!E164,Dados1!E194,Dados1!E224,Dados1!E254,Dados1!E284)</f>
        <v>25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12"/>
      <c r="B37" s="45" t="s">
        <v>20</v>
      </c>
      <c r="C37" s="50">
        <f>MIN(Dados1!E15,Dados1!E45,Dados1!E75,Dados1!E105,Dados1!E135,Dados1!E165,Dados1!E195,Dados1!E225,Dados1!E255,Dados1!E285)</f>
        <v>29</v>
      </c>
      <c r="D37" s="50">
        <f>MAX(Dados1!E15,Dados1!E45,Dados1!E75,Dados1!E105,Dados1!E135,Dados1!E165,Dados1!E195,Dados1!E225,Dados1!E255,Dados1!E285)</f>
        <v>41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4" t="s">
        <v>27</v>
      </c>
      <c r="B38" s="45" t="s">
        <v>16</v>
      </c>
      <c r="C38" s="50">
        <f>MIN(Dados1!E16,Dados1!E46,Dados1!E76,Dados1!E106,Dados1!E136,Dados1!E166,Dados1!E196,Dados1!E226,Dados1!E256,Dados1!E286)</f>
        <v>21</v>
      </c>
      <c r="D38" s="50">
        <f>MAX(Dados1!E16,Dados1!E46,Dados1!E76,Dados1!E106,Dados1!E136,Dados1!E166,Dados1!E196,Dados1!E226,Dados1!E256,Dados1!E286)</f>
        <v>26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12"/>
      <c r="B39" s="45" t="s">
        <v>20</v>
      </c>
      <c r="C39" s="50">
        <f>MIN(Dados1!E17,Dados1!E47,Dados1!E77,Dados1!E107,Dados1!E137,Dados1!E167,Dados1!E197,Dados1!E227,Dados1!E257,Dados1!E287)</f>
        <v>28</v>
      </c>
      <c r="D39" s="50">
        <f>MAX(Dados1!E17,Dados1!E47,Dados1!E77,Dados1!E107,Dados1!E137,Dados1!E167,Dados1!E197,Dados1!E227,Dados1!E257,Dados1!E287)</f>
        <v>40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4" t="s">
        <v>31</v>
      </c>
      <c r="B40" s="45" t="s">
        <v>16</v>
      </c>
      <c r="C40" s="50">
        <f>MIN(Dados1!E18,Dados1!E48,Dados1!E78,Dados1!E108,Dados1!E138,Dados1!E168,Dados1!E198,Dados1!E228,Dados1!E258,Dados1!E288)</f>
        <v>27</v>
      </c>
      <c r="D40" s="50">
        <f>MAX(Dados1!E18,Dados1!E48,Dados1!E78,Dados1!E108,Dados1!E138,Dados1!E168,Dados1!E198,Dados1!E228,Dados1!E258,Dados1!E288)</f>
        <v>32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12"/>
      <c r="B41" s="45" t="s">
        <v>20</v>
      </c>
      <c r="C41" s="50">
        <f>MIN(Dados1!E19,Dados1!E49,Dados1!E79,Dados1!E109,Dados1!E139,Dados1!E169,Dados1!E199,Dados1!E229,Dados1!E259,Dados1!E289)</f>
        <v>29</v>
      </c>
      <c r="D41" s="50">
        <f>MAX(Dados1!E19,Dados1!E49,Dados1!E79,Dados1!E109,Dados1!E139,Dados1!E169,Dados1!E199,Dados1!E229,Dados1!E259,Dados1!E289)</f>
        <v>38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7" t="s">
        <v>33</v>
      </c>
      <c r="B42" s="45" t="s">
        <v>16</v>
      </c>
      <c r="C42" s="50">
        <f>MIN(Dados1!E20,Dados1!E50,Dados1!E80,Dados1!E110,Dados1!E140,Dados1!E170,Dados1!E200,Dados1!E230,Dados1!E260,Dados1!E290)</f>
        <v>31</v>
      </c>
      <c r="D42" s="50">
        <f>MAX(Dados1!E20,Dados1!E50,Dados1!E80,Dados1!E110,Dados1!E140,Dados1!E170,Dados1!E200,Dados1!E230,Dados1!E260,Dados1!E290)</f>
        <v>42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2"/>
      <c r="B43" s="45" t="s">
        <v>20</v>
      </c>
      <c r="C43" s="50">
        <f>MIN(Dados1!E21,Dados1!E51,Dados1!E81,Dados1!E111,Dados1!E141,Dados1!E171,Dados1!E201,Dados1!E231,Dados1!E261,Dados1!E291)</f>
        <v>30</v>
      </c>
      <c r="D43" s="50">
        <f>MAX(Dados1!E21,Dados1!E51,Dados1!E81,Dados1!E111,Dados1!E141,Dados1!E171,Dados1!E201,Dados1!E231,Dados1!E261,Dados1!E291)</f>
        <v>45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 t="s">
        <v>75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9" t="s">
        <v>69</v>
      </c>
      <c r="B59" s="49" t="s">
        <v>70</v>
      </c>
      <c r="C59" s="49" t="s">
        <v>71</v>
      </c>
      <c r="D59" s="49" t="s">
        <v>72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4" t="s">
        <v>15</v>
      </c>
      <c r="B60" s="45" t="s">
        <v>16</v>
      </c>
      <c r="C60" s="50">
        <f>MIN(Dados1!E22,Dados1!E52,Dados1!E82,Dados1!E112,Dados1!E142,Dados1!E172,Dados1!E202,Dados1!E232,Dados1!E262,Dados1!E292)</f>
        <v>30</v>
      </c>
      <c r="D60" s="50">
        <f>MAX(Dados1!E22,Dados1!E52,Dados1!E82,Dados1!E112,Dados1!E142,Dados1!E172,Dados1!E202,Dados1!E232,Dados1!E262,Dados1!E292)</f>
        <v>36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12"/>
      <c r="B61" s="45" t="s">
        <v>20</v>
      </c>
      <c r="C61" s="50">
        <f>MIN(Dados1!E23,Dados1!E53,Dados1!E83,Dados1!E113,Dados1!E143,Dados1!E173,Dados1!E203,Dados1!E233,Dados1!E263,Dados1!E293)</f>
        <v>32</v>
      </c>
      <c r="D61" s="50">
        <f>MAX(Dados1!E23,Dados1!E53,Dados1!E83,Dados1!E113,Dados1!E143,Dados1!E173,Dados1!E203,Dados1!E233,Dados1!E263,Dados1!E293)</f>
        <v>40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4" t="s">
        <v>25</v>
      </c>
      <c r="B62" s="45" t="s">
        <v>16</v>
      </c>
      <c r="C62" s="50">
        <f>MIN(Dados1!E24,Dados1!E54,Dados1!E84,Dados1!E114,Dados1!E144,Dados1!E174,Dados1!E204,Dados1!E234,Dados1!E264,Dados1!E294)</f>
        <v>23</v>
      </c>
      <c r="D62" s="50">
        <f>MAX(Dados1!E24,Dados1!E54,Dados1!E84,Dados1!E114,Dados1!E144,Dados1!E174,Dados1!E204,Dados1!E234,Dados1!E264,Dados1!E294)</f>
        <v>25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12"/>
      <c r="B63" s="45" t="s">
        <v>20</v>
      </c>
      <c r="C63" s="50">
        <f>MIN(Dados1!E25,Dados1!E55,Dados1!E85,Dados1!E115,Dados1!E145,Dados1!E175,Dados1!E205,Dados1!E235,Dados1!E265,Dados1!E295)</f>
        <v>31</v>
      </c>
      <c r="D63" s="50">
        <f>MAX(Dados1!E25,Dados1!E55,Dados1!E85,Dados1!E115,Dados1!E145,Dados1!E175,Dados1!E205,Dados1!E235,Dados1!E265,Dados1!E295)</f>
        <v>41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4" t="s">
        <v>27</v>
      </c>
      <c r="B64" s="45" t="s">
        <v>16</v>
      </c>
      <c r="C64" s="50">
        <f>MIN(Dados1!E26,Dados1!E56,Dados1!E86,Dados1!E116,Dados1!E146,Dados1!E176,Dados1!E206,Dados1!E236,Dados1!E266,Dados1!E296)</f>
        <v>21</v>
      </c>
      <c r="D64" s="50">
        <f>MAX(Dados1!E26,Dados1!E56,Dados1!E86,Dados1!E116,Dados1!E146,Dados1!E176,Dados1!E206,Dados1!E236,Dados1!E266,Dados1!E296)</f>
        <v>30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12"/>
      <c r="B65" s="45" t="s">
        <v>20</v>
      </c>
      <c r="C65" s="50">
        <f>MIN(Dados1!E27,Dados1!E57,Dados1!E87,Dados1!E117,Dados1!E147,Dados1!E177,Dados1!E207,Dados1!E237,Dados1!E267,Dados1!E297)</f>
        <v>30</v>
      </c>
      <c r="D65" s="50">
        <f>MAX(Dados1!E27,Dados1!E57,Dados1!E87,Dados1!E117,Dados1!E147,Dados1!E177,Dados1!E207,Dados1!E237,Dados1!E267,Dados1!E297)</f>
        <v>42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4" t="s">
        <v>31</v>
      </c>
      <c r="B66" s="45" t="s">
        <v>16</v>
      </c>
      <c r="C66" s="50">
        <f>MIN(Dados1!E28,Dados1!E58,Dados1!E88,Dados1!E118,Dados1!E148,Dados1!E178,Dados1!E208,Dados1!E238,Dados1!E268,Dados1!E298)</f>
        <v>29</v>
      </c>
      <c r="D66" s="50">
        <f>MAX(Dados1!E28,Dados1!E58,Dados1!E88,Dados1!E118,Dados1!E148,Dados1!E178,Dados1!E208,Dados1!E238,Dados1!E268,Dados1!E298)</f>
        <v>38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12"/>
      <c r="B67" s="45" t="s">
        <v>20</v>
      </c>
      <c r="C67" s="50">
        <f>MIN(Dados1!E29,Dados1!E59,Dados1!E89,Dados1!E119,Dados1!E149,Dados1!E179,Dados1!E209,Dados1!E239,Dados1!E269,Dados1!E299)</f>
        <v>32</v>
      </c>
      <c r="D67" s="50">
        <f>MAX(Dados1!E29,Dados1!E59,Dados1!E89,Dados1!E119,Dados1!E149,Dados1!E179,Dados1!E209,Dados1!E239,Dados1!E269,Dados1!E299)</f>
        <v>40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7" t="s">
        <v>33</v>
      </c>
      <c r="B68" s="45" t="s">
        <v>16</v>
      </c>
      <c r="C68" s="50">
        <f>MIN(Dados1!E30,Dados1!E60,Dados1!E90,Dados1!E120,Dados1!E150,Dados1!E180,Dados1!E210,Dados1!E240,Dados1!E270,Dados1!E300)</f>
        <v>36</v>
      </c>
      <c r="D68" s="50">
        <f>MAX(Dados1!E30,Dados1!E60,Dados1!E90,Dados1!E120,Dados1!E150,Dados1!E180,Dados1!E210,Dados1!E240,Dados1!E270,Dados1!E300)</f>
        <v>46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12"/>
      <c r="B69" s="45" t="s">
        <v>20</v>
      </c>
      <c r="C69" s="50">
        <f>MIN(Dados1!E31,Dados1!E61,Dados1!E91,Dados1!E121,Dados1!E151,Dados1!E181,Dados1!E211,Dados1!E241,Dados1!E271,Dados1!E30)</f>
        <v>32</v>
      </c>
      <c r="D69" s="50">
        <f>MAX(Dados1!E31,Dados1!E61,Dados1!E91,Dados1!E121,Dados1!E151,Dados1!E181,Dados1!E211,Dados1!E241,Dados1!E271,Dados1!E30)</f>
        <v>46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</sheetData>
  <mergeCells count="15">
    <mergeCell ref="A38:A39"/>
    <mergeCell ref="A40:A41"/>
    <mergeCell ref="A42:A43"/>
    <mergeCell ref="A60:A61"/>
    <mergeCell ref="A62:A63"/>
    <mergeCell ref="A64:A65"/>
    <mergeCell ref="A66:A67"/>
    <mergeCell ref="A68:A69"/>
    <mergeCell ref="A5:A6"/>
    <mergeCell ref="A7:A8"/>
    <mergeCell ref="A9:A10"/>
    <mergeCell ref="A11:A12"/>
    <mergeCell ref="A13:A14"/>
    <mergeCell ref="A34:A35"/>
    <mergeCell ref="A36:A37"/>
  </mergeCells>
  <drawing r:id="rId1"/>
</worksheet>
</file>